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sch\Downloads\_Private\"/>
    </mc:Choice>
  </mc:AlternateContent>
  <xr:revisionPtr revIDLastSave="0" documentId="13_ncr:1_{46842F58-6177-4E5B-BCE7-20D988E52475}" xr6:coauthVersionLast="47" xr6:coauthVersionMax="47" xr10:uidLastSave="{00000000-0000-0000-0000-000000000000}"/>
  <bookViews>
    <workbookView xWindow="-3255" yWindow="-21720" windowWidth="38640" windowHeight="21120" tabRatio="256" activeTab="1" xr2:uid="{E6A42863-018E-4104-BB60-8ED07576F792}"/>
  </bookViews>
  <sheets>
    <sheet name="SE4X Production" sheetId="1" r:id="rId1"/>
    <sheet name="Ship Technology" sheetId="2" r:id="rId2"/>
  </sheets>
  <definedNames>
    <definedName name="Tech1">#REF!</definedName>
    <definedName name="Tech2">#REF!</definedName>
    <definedName name="Tech3">#REF!</definedName>
    <definedName name="Tech4">#REF!</definedName>
    <definedName name="Tech5">#REF!</definedName>
    <definedName name="Tech6">#REF!</definedName>
    <definedName name="Tech7">#REF!</definedName>
    <definedName name="Tech8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9" i="2" l="1"/>
  <c r="I100" i="2"/>
  <c r="H100" i="2"/>
  <c r="G100" i="2"/>
  <c r="I99" i="2"/>
  <c r="H99" i="2"/>
  <c r="G99" i="2"/>
  <c r="I98" i="2"/>
  <c r="H98" i="2"/>
  <c r="G98" i="2"/>
  <c r="I97" i="2"/>
  <c r="H97" i="2"/>
  <c r="G97" i="2"/>
  <c r="I96" i="2"/>
  <c r="H96" i="2"/>
  <c r="G96" i="2"/>
  <c r="H92" i="2"/>
  <c r="H93" i="2"/>
  <c r="H94" i="2"/>
  <c r="H95" i="2"/>
  <c r="O92" i="2"/>
  <c r="O93" i="2"/>
  <c r="O94" i="2"/>
  <c r="O95" i="2"/>
  <c r="M92" i="2"/>
  <c r="M93" i="2"/>
  <c r="M94" i="2"/>
  <c r="M95" i="2"/>
  <c r="N7" i="2"/>
  <c r="M84" i="2"/>
  <c r="M85" i="2"/>
  <c r="M86" i="2"/>
  <c r="M87" i="2"/>
  <c r="L84" i="2"/>
  <c r="L85" i="2"/>
  <c r="L86" i="2"/>
  <c r="L87" i="2"/>
  <c r="L88" i="2"/>
  <c r="L83" i="2"/>
  <c r="F88" i="2"/>
  <c r="F87" i="2"/>
  <c r="F86" i="2"/>
  <c r="F85" i="2"/>
  <c r="F84" i="2"/>
  <c r="F83" i="2"/>
  <c r="M72" i="2"/>
  <c r="M73" i="2"/>
  <c r="M74" i="2"/>
  <c r="M75" i="2"/>
  <c r="M76" i="2"/>
  <c r="M71" i="2"/>
  <c r="O72" i="2"/>
  <c r="O73" i="2"/>
  <c r="O74" i="2"/>
  <c r="O75" i="2"/>
  <c r="O76" i="2"/>
  <c r="O71" i="2"/>
  <c r="K84" i="2"/>
  <c r="K85" i="2"/>
  <c r="K86" i="2"/>
  <c r="K87" i="2"/>
  <c r="H84" i="2"/>
  <c r="H85" i="2"/>
  <c r="H86" i="2"/>
  <c r="H87" i="2"/>
  <c r="J87" i="2"/>
  <c r="I87" i="2"/>
  <c r="G87" i="2"/>
  <c r="J86" i="2"/>
  <c r="I86" i="2"/>
  <c r="G86" i="2"/>
  <c r="J85" i="2"/>
  <c r="I85" i="2"/>
  <c r="G85" i="2"/>
  <c r="J84" i="2"/>
  <c r="I84" i="2"/>
  <c r="G84" i="2"/>
  <c r="M78" i="2"/>
  <c r="M79" i="2"/>
  <c r="M80" i="2"/>
  <c r="M81" i="2"/>
  <c r="M82" i="2"/>
  <c r="K78" i="2"/>
  <c r="K79" i="2"/>
  <c r="K80" i="2"/>
  <c r="K81" i="2"/>
  <c r="K82" i="2"/>
  <c r="J78" i="2"/>
  <c r="J79" i="2"/>
  <c r="J80" i="2"/>
  <c r="J81" i="2"/>
  <c r="J82" i="2"/>
  <c r="I82" i="2"/>
  <c r="H82" i="2"/>
  <c r="G82" i="2"/>
  <c r="I81" i="2"/>
  <c r="H81" i="2"/>
  <c r="G81" i="2"/>
  <c r="I80" i="2"/>
  <c r="H80" i="2"/>
  <c r="G80" i="2"/>
  <c r="I79" i="2"/>
  <c r="H79" i="2"/>
  <c r="G79" i="2"/>
  <c r="I78" i="2"/>
  <c r="H78" i="2"/>
  <c r="G78" i="2"/>
  <c r="N50" i="2"/>
  <c r="N51" i="2"/>
  <c r="N52" i="2"/>
  <c r="N53" i="2"/>
  <c r="N54" i="2"/>
  <c r="N49" i="2"/>
  <c r="N16" i="2"/>
  <c r="N17" i="2"/>
  <c r="N18" i="2"/>
  <c r="N19" i="2"/>
  <c r="N20" i="2"/>
  <c r="N15" i="2"/>
  <c r="K76" i="2"/>
  <c r="J76" i="2"/>
  <c r="I76" i="2"/>
  <c r="H76" i="2"/>
  <c r="G76" i="2"/>
  <c r="K75" i="2"/>
  <c r="J75" i="2"/>
  <c r="I75" i="2"/>
  <c r="H75" i="2"/>
  <c r="G75" i="2"/>
  <c r="K74" i="2"/>
  <c r="J74" i="2"/>
  <c r="I74" i="2"/>
  <c r="H74" i="2"/>
  <c r="G74" i="2"/>
  <c r="K73" i="2"/>
  <c r="J73" i="2"/>
  <c r="I73" i="2"/>
  <c r="H73" i="2"/>
  <c r="G73" i="2"/>
  <c r="K72" i="2"/>
  <c r="J72" i="2"/>
  <c r="I72" i="2"/>
  <c r="H72" i="2"/>
  <c r="G72" i="2"/>
  <c r="F7" i="2"/>
  <c r="F4" i="2"/>
  <c r="K67" i="2"/>
  <c r="K69" i="2"/>
  <c r="I67" i="2"/>
  <c r="I69" i="2"/>
  <c r="H67" i="2"/>
  <c r="H69" i="2"/>
  <c r="G67" i="2"/>
  <c r="G69" i="2"/>
  <c r="J69" i="2"/>
  <c r="J67" i="2"/>
  <c r="O50" i="2"/>
  <c r="O51" i="2"/>
  <c r="O52" i="2"/>
  <c r="O53" i="2"/>
  <c r="H50" i="2"/>
  <c r="H51" i="2"/>
  <c r="H52" i="2"/>
  <c r="H53" i="2"/>
  <c r="G50" i="2"/>
  <c r="G51" i="2"/>
  <c r="G52" i="2"/>
  <c r="G53" i="2"/>
  <c r="M40" i="2"/>
  <c r="M41" i="2"/>
  <c r="M42" i="2"/>
  <c r="M34" i="2"/>
  <c r="M35" i="2"/>
  <c r="M36" i="2"/>
  <c r="M37" i="2"/>
  <c r="M38" i="2"/>
  <c r="L40" i="2"/>
  <c r="L41" i="2"/>
  <c r="L42" i="2"/>
  <c r="L34" i="2"/>
  <c r="L35" i="2"/>
  <c r="L36" i="2"/>
  <c r="L37" i="2"/>
  <c r="L38" i="2"/>
  <c r="M50" i="2" l="1"/>
  <c r="M51" i="2"/>
  <c r="M52" i="2"/>
  <c r="M53" i="2"/>
  <c r="K53" i="2"/>
  <c r="J53" i="2"/>
  <c r="I53" i="2"/>
  <c r="K52" i="2"/>
  <c r="J52" i="2"/>
  <c r="I52" i="2"/>
  <c r="K51" i="2"/>
  <c r="J51" i="2"/>
  <c r="I51" i="2"/>
  <c r="K50" i="2"/>
  <c r="J50" i="2"/>
  <c r="I50" i="2"/>
  <c r="M45" i="2"/>
  <c r="M46" i="2"/>
  <c r="G46" i="2"/>
  <c r="J46" i="2"/>
  <c r="I46" i="2"/>
  <c r="H46" i="2"/>
  <c r="K40" i="2"/>
  <c r="K41" i="2"/>
  <c r="K42" i="2"/>
  <c r="K34" i="2"/>
  <c r="K35" i="2"/>
  <c r="K36" i="2"/>
  <c r="K37" i="2"/>
  <c r="K38" i="2"/>
  <c r="M28" i="2"/>
  <c r="M29" i="2"/>
  <c r="M30" i="2"/>
  <c r="M31" i="2"/>
  <c r="M32" i="2"/>
  <c r="M27" i="2"/>
  <c r="K28" i="2"/>
  <c r="K29" i="2"/>
  <c r="K30" i="2"/>
  <c r="K31" i="2"/>
  <c r="K32" i="2"/>
  <c r="K27" i="2"/>
  <c r="K22" i="2"/>
  <c r="K23" i="2"/>
  <c r="K24" i="2"/>
  <c r="K25" i="2"/>
  <c r="K26" i="2"/>
  <c r="K16" i="2"/>
  <c r="K17" i="2"/>
  <c r="K18" i="2"/>
  <c r="K19" i="2"/>
  <c r="K20" i="2"/>
  <c r="K9" i="2"/>
  <c r="K10" i="2"/>
  <c r="K11" i="2"/>
  <c r="K12" i="2"/>
  <c r="K13" i="2"/>
  <c r="K14" i="2"/>
  <c r="K8" i="2"/>
  <c r="O4" i="2"/>
  <c r="M4" i="2"/>
  <c r="N4" i="2"/>
  <c r="L4" i="2"/>
  <c r="O22" i="2"/>
  <c r="O23" i="2"/>
  <c r="O24" i="2"/>
  <c r="O25" i="2"/>
  <c r="O26" i="2"/>
  <c r="O16" i="2"/>
  <c r="O17" i="2"/>
  <c r="O18" i="2"/>
  <c r="O19" i="2"/>
  <c r="O20" i="2"/>
  <c r="H16" i="2"/>
  <c r="H17" i="2"/>
  <c r="H18" i="2"/>
  <c r="H19" i="2"/>
  <c r="H20" i="2"/>
  <c r="G19" i="2"/>
  <c r="P19" i="2"/>
  <c r="I6" i="2"/>
  <c r="H6" i="2"/>
  <c r="G6" i="2"/>
  <c r="O5" i="2"/>
  <c r="M5" i="2"/>
  <c r="H4" i="2"/>
  <c r="G4" i="2" l="1"/>
  <c r="H3" i="2"/>
  <c r="G3" i="2"/>
  <c r="I5" i="2"/>
  <c r="H5" i="2"/>
  <c r="G5" i="2"/>
  <c r="J10" i="2"/>
  <c r="J11" i="2"/>
  <c r="J12" i="2"/>
  <c r="J19" i="2"/>
  <c r="J22" i="2"/>
  <c r="J23" i="2"/>
  <c r="J24" i="2"/>
  <c r="J25" i="2"/>
  <c r="J26" i="2"/>
  <c r="J27" i="2"/>
  <c r="J28" i="2"/>
  <c r="J29" i="2"/>
  <c r="J30" i="2"/>
  <c r="J31" i="2"/>
  <c r="J32" i="2"/>
  <c r="J34" i="2"/>
  <c r="J35" i="2"/>
  <c r="J36" i="2"/>
  <c r="J37" i="2"/>
  <c r="J38" i="2"/>
  <c r="J40" i="2"/>
  <c r="J41" i="2"/>
  <c r="J42" i="2"/>
  <c r="M22" i="2"/>
  <c r="M23" i="2"/>
  <c r="M24" i="2"/>
  <c r="M25" i="2"/>
  <c r="M26" i="2"/>
  <c r="I40" i="2"/>
  <c r="I41" i="2"/>
  <c r="I42" i="2"/>
  <c r="H40" i="2"/>
  <c r="H41" i="2"/>
  <c r="H42" i="2"/>
  <c r="G40" i="2"/>
  <c r="G41" i="2"/>
  <c r="G42" i="2"/>
  <c r="I34" i="2"/>
  <c r="I35" i="2"/>
  <c r="I36" i="2"/>
  <c r="I37" i="2"/>
  <c r="I38" i="2"/>
  <c r="H34" i="2"/>
  <c r="H35" i="2"/>
  <c r="H36" i="2"/>
  <c r="H37" i="2"/>
  <c r="H38" i="2"/>
  <c r="G34" i="2"/>
  <c r="G35" i="2"/>
  <c r="G36" i="2"/>
  <c r="G37" i="2"/>
  <c r="G38" i="2"/>
  <c r="M11" i="2"/>
  <c r="M12" i="2"/>
  <c r="I4" i="2"/>
  <c r="I3" i="2"/>
  <c r="M3" i="2"/>
  <c r="I11" i="2"/>
  <c r="I12" i="2"/>
  <c r="H11" i="2"/>
  <c r="H12" i="2"/>
  <c r="E8" i="1"/>
  <c r="G8" i="1" s="1"/>
  <c r="I8" i="1" s="1"/>
  <c r="K8" i="1" s="1"/>
  <c r="M8" i="1" s="1"/>
  <c r="O8" i="1" s="1"/>
  <c r="Q8" i="1" s="1"/>
  <c r="S8" i="1" s="1"/>
  <c r="U8" i="1" s="1"/>
  <c r="W8" i="1" s="1"/>
  <c r="Y8" i="1" s="1"/>
  <c r="AA8" i="1" s="1"/>
  <c r="AC8" i="1" s="1"/>
  <c r="AE8" i="1" s="1"/>
  <c r="AG8" i="1" s="1"/>
  <c r="AI8" i="1" s="1"/>
  <c r="AK8" i="1" s="1"/>
  <c r="AM8" i="1" s="1"/>
  <c r="AO8" i="1" s="1"/>
  <c r="C7" i="1"/>
  <c r="C10" i="1" s="1"/>
  <c r="C25" i="1" s="1"/>
  <c r="E3" i="1" s="1"/>
  <c r="E7" i="1" s="1"/>
  <c r="E10" i="1" s="1"/>
  <c r="E25" i="1" s="1"/>
  <c r="G3" i="1" l="1"/>
  <c r="G7" i="1" l="1"/>
  <c r="G10" i="1" l="1"/>
  <c r="G25" i="1" l="1"/>
  <c r="I3" i="1" s="1"/>
  <c r="I7" i="1" s="1"/>
  <c r="I10" i="1" s="1"/>
  <c r="I25" i="1" l="1"/>
  <c r="K3" i="1" s="1"/>
  <c r="K7" i="1" s="1"/>
  <c r="K10" i="1" s="1"/>
  <c r="K25" i="1" l="1"/>
  <c r="M3" i="1" s="1"/>
  <c r="M7" i="1" s="1"/>
  <c r="M10" i="1" s="1"/>
  <c r="M25" i="1" l="1"/>
  <c r="O3" i="1" s="1"/>
  <c r="O7" i="1" s="1"/>
  <c r="O10" i="1" s="1"/>
  <c r="O25" i="1" l="1"/>
  <c r="Q3" i="1" s="1"/>
  <c r="Q7" i="1" s="1"/>
  <c r="Q10" i="1" s="1"/>
  <c r="Q25" i="1" l="1"/>
  <c r="S3" i="1" s="1"/>
  <c r="S7" i="1" s="1"/>
  <c r="S10" i="1" s="1"/>
  <c r="S25" i="1" l="1"/>
  <c r="U3" i="1" s="1"/>
  <c r="U7" i="1" s="1"/>
  <c r="U10" i="1" s="1"/>
  <c r="U25" i="1" l="1"/>
  <c r="W3" i="1" s="1"/>
  <c r="W7" i="1" s="1"/>
  <c r="W10" i="1" s="1"/>
  <c r="W25" i="1" l="1"/>
  <c r="Y3" i="1" s="1"/>
  <c r="Y7" i="1" s="1"/>
  <c r="Y10" i="1" s="1"/>
  <c r="Y25" i="1" l="1"/>
  <c r="AA3" i="1" s="1"/>
  <c r="AA7" i="1" s="1"/>
  <c r="AA10" i="1" s="1"/>
  <c r="AA25" i="1" l="1"/>
  <c r="AC3" i="1" s="1"/>
  <c r="AC7" i="1" s="1"/>
  <c r="AC10" i="1" s="1"/>
  <c r="AC25" i="1" l="1"/>
  <c r="AE3" i="1" s="1"/>
  <c r="AE7" i="1" s="1"/>
  <c r="AE10" i="1" s="1"/>
  <c r="AE25" i="1" l="1"/>
  <c r="AG3" i="1" s="1"/>
  <c r="AG7" i="1" s="1"/>
  <c r="AG10" i="1" s="1"/>
  <c r="AG25" i="1" l="1"/>
  <c r="AI3" i="1" s="1"/>
  <c r="AI7" i="1" s="1"/>
  <c r="AI10" i="1" s="1"/>
  <c r="AI25" i="1" l="1"/>
  <c r="AK3" i="1" s="1"/>
  <c r="AK7" i="1" s="1"/>
  <c r="AK10" i="1" s="1"/>
  <c r="AK25" i="1" l="1"/>
  <c r="AM3" i="1" s="1"/>
  <c r="AM7" i="1" s="1"/>
  <c r="AM10" i="1" s="1"/>
  <c r="AM25" i="1" l="1"/>
  <c r="AO3" i="1" s="1"/>
  <c r="AO7" i="1" s="1"/>
  <c r="AO10" i="1" s="1"/>
  <c r="AO25" i="1" s="1"/>
  <c r="G12" i="2"/>
  <c r="G11" i="2"/>
  <c r="G26" i="2"/>
  <c r="H26" i="2"/>
  <c r="I26" i="2"/>
  <c r="G30" i="2"/>
  <c r="H30" i="2"/>
  <c r="I30" i="2"/>
  <c r="G32" i="2"/>
  <c r="H32" i="2"/>
  <c r="I32" i="2"/>
  <c r="G31" i="2"/>
  <c r="H31" i="2"/>
  <c r="I31" i="2"/>
  <c r="G28" i="2"/>
  <c r="H28" i="2"/>
  <c r="I28" i="2"/>
  <c r="G25" i="2"/>
  <c r="H25" i="2"/>
  <c r="I25" i="2"/>
  <c r="G23" i="2"/>
  <c r="H23" i="2"/>
  <c r="I23" i="2"/>
  <c r="I19" i="2"/>
  <c r="M19" i="2"/>
  <c r="G24" i="2"/>
  <c r="H24" i="2"/>
  <c r="I24" i="2"/>
  <c r="G22" i="2"/>
  <c r="H22" i="2"/>
  <c r="I22" i="2"/>
  <c r="G29" i="2"/>
  <c r="H29" i="2"/>
  <c r="I29" i="2"/>
  <c r="G27" i="2"/>
  <c r="H27" i="2"/>
  <c r="I27" i="2"/>
  <c r="G10" i="2"/>
  <c r="H10" i="2"/>
  <c r="I10" i="2"/>
  <c r="M10" i="2"/>
  <c r="G9" i="2"/>
  <c r="H9" i="2"/>
  <c r="I9" i="2"/>
  <c r="J9" i="2"/>
  <c r="M9" i="2"/>
  <c r="G13" i="2"/>
  <c r="H13" i="2"/>
  <c r="I13" i="2"/>
  <c r="J13" i="2"/>
  <c r="M13" i="2"/>
  <c r="G14" i="2"/>
  <c r="H14" i="2"/>
  <c r="I14" i="2"/>
  <c r="J14" i="2"/>
  <c r="M14" i="2"/>
  <c r="G17" i="2"/>
  <c r="I17" i="2"/>
  <c r="J17" i="2"/>
  <c r="M17" i="2"/>
  <c r="P17" i="2"/>
  <c r="G16" i="2"/>
  <c r="I16" i="2"/>
  <c r="J16" i="2"/>
  <c r="M16" i="2"/>
  <c r="P16" i="2"/>
  <c r="G18" i="2"/>
  <c r="I18" i="2"/>
  <c r="J18" i="2"/>
  <c r="M18" i="2"/>
  <c r="P18" i="2"/>
  <c r="G20" i="2"/>
  <c r="I20" i="2"/>
  <c r="J20" i="2"/>
  <c r="M20" i="2"/>
  <c r="P20" i="2"/>
  <c r="G8" i="2"/>
  <c r="H8" i="2"/>
  <c r="I8" i="2"/>
  <c r="J8" i="2"/>
  <c r="M8" i="2"/>
  <c r="G21" i="2"/>
  <c r="H21" i="2"/>
  <c r="I21" i="2"/>
  <c r="J21" i="2"/>
  <c r="K21" i="2"/>
  <c r="M21" i="2"/>
  <c r="O21" i="2"/>
  <c r="G45" i="2"/>
  <c r="H45" i="2"/>
  <c r="I45" i="2"/>
  <c r="J45" i="2"/>
  <c r="G15" i="2"/>
  <c r="H15" i="2"/>
  <c r="I15" i="2"/>
  <c r="J15" i="2"/>
  <c r="K15" i="2"/>
  <c r="M15" i="2"/>
  <c r="O15" i="2"/>
  <c r="P15" i="2"/>
  <c r="G54" i="2"/>
  <c r="H54" i="2"/>
  <c r="I54" i="2"/>
  <c r="J54" i="2"/>
  <c r="K54" i="2" s="1"/>
  <c r="M54" i="2"/>
  <c r="O54" i="2"/>
  <c r="G49" i="2"/>
  <c r="H49" i="2"/>
  <c r="I49" i="2"/>
  <c r="J49" i="2"/>
  <c r="K49" i="2" s="1"/>
  <c r="M49" i="2"/>
  <c r="O49" i="2"/>
  <c r="R49" i="2"/>
  <c r="G44" i="2"/>
  <c r="H44" i="2"/>
  <c r="I44" i="2"/>
  <c r="J44" i="2"/>
  <c r="M44" i="2"/>
  <c r="G43" i="2"/>
  <c r="H43" i="2"/>
  <c r="I43" i="2"/>
  <c r="J43" i="2"/>
  <c r="K43" i="2"/>
  <c r="L43" i="2"/>
  <c r="M43" i="2"/>
  <c r="G48" i="2"/>
  <c r="H48" i="2"/>
  <c r="I48" i="2"/>
  <c r="J48" i="2"/>
  <c r="M48" i="2"/>
  <c r="G47" i="2"/>
  <c r="H47" i="2"/>
  <c r="I47" i="2"/>
  <c r="J47" i="2"/>
  <c r="M47" i="2"/>
  <c r="G55" i="2"/>
  <c r="H55" i="2"/>
  <c r="I55" i="2"/>
  <c r="M55" i="2"/>
  <c r="G56" i="2"/>
  <c r="H56" i="2"/>
  <c r="I56" i="2"/>
  <c r="M56" i="2"/>
  <c r="G57" i="2"/>
  <c r="H57" i="2"/>
  <c r="I57" i="2"/>
  <c r="M57" i="2"/>
  <c r="G58" i="2"/>
  <c r="H58" i="2"/>
  <c r="I58" i="2"/>
  <c r="M58" i="2"/>
  <c r="G59" i="2"/>
  <c r="H59" i="2"/>
  <c r="I59" i="2"/>
  <c r="M59" i="2"/>
  <c r="G60" i="2"/>
  <c r="H60" i="2"/>
  <c r="I60" i="2"/>
  <c r="M60" i="2"/>
  <c r="G61" i="2"/>
  <c r="H61" i="2"/>
  <c r="I61" i="2"/>
  <c r="M61" i="2"/>
  <c r="G62" i="2"/>
  <c r="H62" i="2"/>
  <c r="I62" i="2"/>
  <c r="M62" i="2"/>
  <c r="G63" i="2"/>
  <c r="H63" i="2"/>
  <c r="I63" i="2"/>
  <c r="M63" i="2"/>
  <c r="G64" i="2"/>
  <c r="H64" i="2"/>
  <c r="I64" i="2"/>
  <c r="M64" i="2"/>
  <c r="G70" i="2"/>
  <c r="H70" i="2"/>
  <c r="I70" i="2"/>
  <c r="J70" i="2"/>
  <c r="K70" i="2"/>
  <c r="G71" i="2"/>
  <c r="H71" i="2"/>
  <c r="I71" i="2"/>
  <c r="J71" i="2"/>
  <c r="K71" i="2"/>
  <c r="G77" i="2"/>
  <c r="H77" i="2"/>
  <c r="I77" i="2"/>
  <c r="J77" i="2"/>
  <c r="K77" i="2"/>
  <c r="M77" i="2"/>
  <c r="G83" i="2"/>
  <c r="H83" i="2"/>
  <c r="I83" i="2"/>
  <c r="J83" i="2"/>
  <c r="K83" i="2"/>
  <c r="M83" i="2"/>
  <c r="G88" i="2"/>
  <c r="H88" i="2"/>
  <c r="I88" i="2"/>
  <c r="J88" i="2"/>
  <c r="K88" i="2"/>
  <c r="M88" i="2"/>
  <c r="G33" i="2"/>
  <c r="H33" i="2"/>
  <c r="I33" i="2"/>
  <c r="J33" i="2"/>
  <c r="K33" i="2" s="1"/>
  <c r="L33" i="2"/>
  <c r="M33" i="2"/>
  <c r="G39" i="2"/>
  <c r="H39" i="2"/>
  <c r="I39" i="2"/>
  <c r="J39" i="2"/>
  <c r="K39" i="2" s="1"/>
  <c r="L39" i="2"/>
  <c r="M39" i="2"/>
  <c r="G7" i="2"/>
  <c r="H7" i="2"/>
  <c r="I7" i="2"/>
  <c r="J7" i="2"/>
  <c r="K7" i="2" s="1"/>
  <c r="M7" i="2"/>
  <c r="O7" i="2"/>
  <c r="G92" i="2"/>
  <c r="I92" i="2"/>
  <c r="J92" i="2"/>
  <c r="K92" i="2"/>
  <c r="G93" i="2"/>
  <c r="I93" i="2"/>
  <c r="J93" i="2"/>
  <c r="K93" i="2"/>
  <c r="G94" i="2"/>
  <c r="I94" i="2"/>
  <c r="J94" i="2"/>
  <c r="K94" i="2"/>
  <c r="G95" i="2"/>
  <c r="I95" i="2"/>
  <c r="J95" i="2"/>
  <c r="K95" i="2"/>
  <c r="G68" i="2"/>
  <c r="H68" i="2"/>
  <c r="I68" i="2"/>
  <c r="J68" i="2"/>
  <c r="K68" i="2"/>
  <c r="G66" i="2"/>
  <c r="H66" i="2"/>
  <c r="I66" i="2"/>
  <c r="J66" i="2"/>
  <c r="K66" i="2"/>
  <c r="G65" i="2"/>
  <c r="H65" i="2"/>
  <c r="I65" i="2"/>
  <c r="J65" i="2"/>
  <c r="K65" i="2"/>
  <c r="G91" i="2"/>
  <c r="H91" i="2"/>
  <c r="I91" i="2"/>
  <c r="J91" i="2"/>
  <c r="K91" i="2"/>
  <c r="M91" i="2"/>
  <c r="O91" i="2"/>
  <c r="G90" i="2"/>
  <c r="H90" i="2"/>
  <c r="I90" i="2"/>
  <c r="J90" i="2"/>
  <c r="K90" i="2"/>
  <c r="M90" i="2"/>
  <c r="O90" i="2"/>
</calcChain>
</file>

<file path=xl/sharedStrings.xml><?xml version="1.0" encoding="utf-8"?>
<sst xmlns="http://schemas.openxmlformats.org/spreadsheetml/2006/main" count="339" uniqueCount="220">
  <si>
    <t xml:space="preserve"> Economic Phase</t>
  </si>
  <si>
    <t xml:space="preserve">- Maintenance </t>
  </si>
  <si>
    <t xml:space="preserve">- Turn order bid </t>
  </si>
  <si>
    <t xml:space="preserve"> Subtotal</t>
  </si>
  <si>
    <t xml:space="preserve">-Technology Spending </t>
  </si>
  <si>
    <t xml:space="preserve">- Ship Spending </t>
  </si>
  <si>
    <t xml:space="preserve"> Remaining CP</t>
  </si>
  <si>
    <t xml:space="preserve">Maintenance Inc (buys) </t>
  </si>
  <si>
    <t xml:space="preserve">Maintenance Dec (losses) </t>
  </si>
  <si>
    <t>Technology</t>
  </si>
  <si>
    <t xml:space="preserve"> Ship Size</t>
  </si>
  <si>
    <t xml:space="preserve"> Attack</t>
  </si>
  <si>
    <t xml:space="preserve"> Defense</t>
  </si>
  <si>
    <t xml:space="preserve"> Fighters</t>
  </si>
  <si>
    <t xml:space="preserve"> Tactics</t>
  </si>
  <si>
    <t xml:space="preserve"> Point Defense</t>
  </si>
  <si>
    <t xml:space="preserve"> Move</t>
  </si>
  <si>
    <t xml:space="preserve"> Cloaking</t>
  </si>
  <si>
    <t xml:space="preserve"> Ship Yards</t>
  </si>
  <si>
    <t xml:space="preserve"> Scanners</t>
  </si>
  <si>
    <t xml:space="preserve"> Terraforming</t>
  </si>
  <si>
    <t xml:space="preserve"> Mines</t>
  </si>
  <si>
    <t xml:space="preserve"> Exploration</t>
  </si>
  <si>
    <t>Ship Technology Sheet</t>
  </si>
  <si>
    <t>Attack</t>
  </si>
  <si>
    <t>Defense</t>
  </si>
  <si>
    <t>Tactics</t>
  </si>
  <si>
    <t>Move</t>
  </si>
  <si>
    <t>Other</t>
  </si>
  <si>
    <t xml:space="preserve"> DD #1</t>
  </si>
  <si>
    <t xml:space="preserve"> DD #2</t>
  </si>
  <si>
    <t xml:space="preserve"> DD #3</t>
  </si>
  <si>
    <t xml:space="preserve"> DD #4</t>
  </si>
  <si>
    <t xml:space="preserve"> CA #1</t>
  </si>
  <si>
    <t xml:space="preserve"> CA #2</t>
  </si>
  <si>
    <t xml:space="preserve"> CA #3</t>
  </si>
  <si>
    <t xml:space="preserve"> CA #4</t>
  </si>
  <si>
    <t xml:space="preserve"> BC #1</t>
  </si>
  <si>
    <t xml:space="preserve"> BC #2</t>
  </si>
  <si>
    <t xml:space="preserve"> BC #3</t>
  </si>
  <si>
    <t xml:space="preserve"> BC #4</t>
  </si>
  <si>
    <t xml:space="preserve"> Mine Sweep</t>
  </si>
  <si>
    <t xml:space="preserve"> BB #1</t>
  </si>
  <si>
    <t xml:space="preserve"> BB #2</t>
  </si>
  <si>
    <t xml:space="preserve"> BB #3</t>
  </si>
  <si>
    <t xml:space="preserve"> BB #4</t>
  </si>
  <si>
    <t xml:space="preserve"> DN #1</t>
  </si>
  <si>
    <t xml:space="preserve"> DN #2</t>
  </si>
  <si>
    <t xml:space="preserve"> Total CP</t>
  </si>
  <si>
    <t xml:space="preserve">- CP spent on upgrades </t>
  </si>
  <si>
    <t>Space Empires Production Sheet</t>
  </si>
  <si>
    <r>
      <rPr>
        <b/>
        <sz val="10"/>
        <rFont val="Arial"/>
        <family val="2"/>
      </rPr>
      <t>2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10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</si>
  <si>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1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</si>
  <si>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r>
      <t xml:space="preserve">1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</si>
  <si>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1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15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</si>
  <si>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2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</si>
  <si>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15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</si>
  <si>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2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30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</si>
  <si>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4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</si>
  <si>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r>
      <t xml:space="preserve">1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25</t>
    </r>
    <r>
      <rPr>
        <sz val="9"/>
        <rFont val="Arial"/>
        <family val="2"/>
      </rPr>
      <t>)</t>
    </r>
  </si>
  <si>
    <r>
      <t>1</t>
    </r>
    <r>
      <rPr>
        <b/>
        <i/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</si>
  <si>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r>
      <t xml:space="preserve">1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30</t>
    </r>
    <r>
      <rPr>
        <sz val="9"/>
        <rFont val="Arial"/>
        <family val="2"/>
      </rPr>
      <t>)</t>
    </r>
  </si>
  <si>
    <r>
      <t xml:space="preserve">1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10</t>
    </r>
    <r>
      <rPr>
        <sz val="9"/>
        <rFont val="Arial"/>
        <family val="2"/>
      </rPr>
      <t>)</t>
    </r>
  </si>
  <si>
    <r>
      <t>2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</si>
  <si>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t xml:space="preserve"> SC #1</t>
  </si>
  <si>
    <t xml:space="preserve"> SC #2</t>
  </si>
  <si>
    <t xml:space="preserve"> SC #3</t>
  </si>
  <si>
    <t xml:space="preserve"> SC #4</t>
  </si>
  <si>
    <t xml:space="preserve"> SC #5</t>
  </si>
  <si>
    <t>Group</t>
  </si>
  <si>
    <t>Start</t>
  </si>
  <si>
    <t xml:space="preserve">Current </t>
  </si>
  <si>
    <r>
      <t xml:space="preserve">Level CP </t>
    </r>
    <r>
      <rPr>
        <sz val="12"/>
        <rFont val="Arial"/>
        <family val="2"/>
      </rPr>
      <t>(</t>
    </r>
    <r>
      <rPr>
        <i/>
        <sz val="12"/>
        <rFont val="Arial"/>
        <family val="2"/>
      </rPr>
      <t>Cost</t>
    </r>
    <r>
      <rPr>
        <sz val="12"/>
        <rFont val="Arial"/>
        <family val="2"/>
      </rPr>
      <t>)</t>
    </r>
  </si>
  <si>
    <t xml:space="preserve"> SY</t>
  </si>
  <si>
    <t xml:space="preserve"> Ship Yard</t>
  </si>
  <si>
    <t xml:space="preserve"> SC #6</t>
  </si>
  <si>
    <t xml:space="preserve"> DD #5</t>
  </si>
  <si>
    <t xml:space="preserve"> DD #6</t>
  </si>
  <si>
    <t xml:space="preserve"> CA #5</t>
  </si>
  <si>
    <t xml:space="preserve"> CA #6</t>
  </si>
  <si>
    <t xml:space="preserve"> BB #5</t>
  </si>
  <si>
    <t xml:space="preserve"> BB #6</t>
  </si>
  <si>
    <t xml:space="preserve"> DN #3</t>
  </si>
  <si>
    <t xml:space="preserve"> DN #4</t>
  </si>
  <si>
    <t xml:space="preserve"> DN #5</t>
  </si>
  <si>
    <t xml:space="preserve"> BC #5</t>
  </si>
  <si>
    <t xml:space="preserve"> BC #6</t>
  </si>
  <si>
    <r>
      <rPr>
        <b/>
        <sz val="10"/>
        <rFont val="Arial"/>
        <family val="2"/>
      </rPr>
      <t>5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</si>
  <si>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6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(2</t>
    </r>
    <r>
      <rPr>
        <i/>
        <sz val="9"/>
        <rFont val="Arial"/>
        <family val="2"/>
      </rPr>
      <t>0</t>
    </r>
    <r>
      <rPr>
        <sz val="9"/>
        <rFont val="Arial"/>
        <family val="2"/>
      </rPr>
      <t>)</t>
    </r>
  </si>
  <si>
    <r>
      <t>3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(2</t>
    </r>
    <r>
      <rPr>
        <i/>
        <sz val="9"/>
        <rFont val="Arial"/>
        <family val="2"/>
      </rPr>
      <t>0</t>
    </r>
    <r>
      <rPr>
        <sz val="9"/>
        <rFont val="Arial"/>
        <family val="2"/>
      </rPr>
      <t>)</t>
    </r>
  </si>
  <si>
    <r>
      <t xml:space="preserve">2 </t>
    </r>
    <r>
      <rPr>
        <sz val="9"/>
        <rFont val="Arial"/>
        <family val="2"/>
      </rPr>
      <t>(2</t>
    </r>
    <r>
      <rPr>
        <i/>
        <sz val="9"/>
        <rFont val="Arial"/>
        <family val="2"/>
      </rPr>
      <t>0</t>
    </r>
    <r>
      <rPr>
        <sz val="9"/>
        <rFont val="Arial"/>
        <family val="2"/>
      </rPr>
      <t>)</t>
    </r>
  </si>
  <si>
    <r>
      <t>2</t>
    </r>
    <r>
      <rPr>
        <sz val="10"/>
        <rFont val="Arial"/>
        <family val="2"/>
      </rPr>
      <t>*</t>
    </r>
  </si>
  <si>
    <t>4*</t>
  </si>
  <si>
    <t>6*</t>
  </si>
  <si>
    <t>8*</t>
  </si>
  <si>
    <t>10*</t>
  </si>
  <si>
    <t>12*</t>
  </si>
  <si>
    <t>14*</t>
  </si>
  <si>
    <t>16*</t>
  </si>
  <si>
    <t>18*</t>
  </si>
  <si>
    <t>20*</t>
  </si>
  <si>
    <t xml:space="preserve">+ Colony CP </t>
  </si>
  <si>
    <t xml:space="preserve">Carry over (max 30) </t>
  </si>
  <si>
    <t xml:space="preserve">+ Mineral/Resource Card CP </t>
  </si>
  <si>
    <t xml:space="preserve">+ MS Pipeline CP </t>
  </si>
  <si>
    <t xml:space="preserve">* draw 2 crew cards and keep 1 </t>
  </si>
  <si>
    <t>Advanced Rules</t>
  </si>
  <si>
    <t xml:space="preserve"> Advanced Construction</t>
  </si>
  <si>
    <t xml:space="preserve"> Anti-Replicator</t>
  </si>
  <si>
    <t xml:space="preserve"> Military Academy</t>
  </si>
  <si>
    <t xml:space="preserve"> Boarding</t>
  </si>
  <si>
    <t xml:space="preserve"> Security Forces</t>
  </si>
  <si>
    <t xml:space="preserve"> Missile Boats</t>
  </si>
  <si>
    <t xml:space="preserve"> Jammer</t>
  </si>
  <si>
    <r>
      <rPr>
        <b/>
        <sz val="10"/>
        <rFont val="Arial"/>
        <family val="2"/>
      </rPr>
      <t>1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10</t>
    </r>
    <r>
      <rPr>
        <sz val="9"/>
        <rFont val="Arial"/>
        <family val="2"/>
      </rPr>
      <t>)</t>
    </r>
  </si>
  <si>
    <r>
      <t>2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15</t>
    </r>
    <r>
      <rPr>
        <sz val="9"/>
        <rFont val="Arial"/>
        <family val="2"/>
      </rPr>
      <t>)</t>
    </r>
  </si>
  <si>
    <t>1 troop per 3 unblockaded colonies</t>
  </si>
  <si>
    <r>
      <rPr>
        <b/>
        <sz val="10"/>
        <rFont val="Arial"/>
        <family val="2"/>
      </rPr>
      <t>7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30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</si>
  <si>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 xml:space="preserve">3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25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</si>
  <si>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4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10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</si>
  <si>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2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15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</si>
  <si>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25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</si>
  <si>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4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25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</si>
  <si>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5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25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</si>
  <si>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6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</si>
  <si>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7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</si>
  <si>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r>
      <t>2</t>
    </r>
    <r>
      <rPr>
        <i/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</si>
  <si>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r>
      <t>3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25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</si>
  <si>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2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25</t>
    </r>
    <r>
      <rPr>
        <sz val="9"/>
        <rFont val="Arial"/>
        <family val="2"/>
      </rPr>
      <t>)</t>
    </r>
  </si>
  <si>
    <r>
      <t>2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30</t>
    </r>
    <r>
      <rPr>
        <sz val="9"/>
        <rFont val="Arial"/>
        <family val="2"/>
      </rPr>
      <t>)</t>
    </r>
  </si>
  <si>
    <r>
      <t>3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</si>
  <si>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10</t>
    </r>
    <r>
      <rPr>
        <sz val="9"/>
        <rFont val="Arial"/>
        <family val="2"/>
      </rPr>
      <t>)</t>
    </r>
  </si>
  <si>
    <r>
      <t xml:space="preserve">1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15</t>
    </r>
    <r>
      <rPr>
        <sz val="9"/>
        <rFont val="Arial"/>
        <family val="2"/>
      </rPr>
      <t>)</t>
    </r>
  </si>
  <si>
    <r>
      <t>2</t>
    </r>
    <r>
      <rPr>
        <i/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15</t>
    </r>
    <r>
      <rPr>
        <sz val="9"/>
        <rFont val="Arial"/>
        <family val="2"/>
      </rPr>
      <t>)</t>
    </r>
  </si>
  <si>
    <t>Experience</t>
  </si>
  <si>
    <t>React</t>
  </si>
  <si>
    <t xml:space="preserve"> DSN</t>
  </si>
  <si>
    <r>
      <t xml:space="preserve"> Fast</t>
    </r>
    <r>
      <rPr>
        <sz val="10"/>
        <rFont val="Arial"/>
        <family val="2"/>
      </rPr>
      <t xml:space="preserve"> / </t>
    </r>
    <r>
      <rPr>
        <sz val="8"/>
        <rFont val="Arial"/>
        <family val="2"/>
      </rPr>
      <t>BC Ability #</t>
    </r>
  </si>
  <si>
    <r>
      <rPr>
        <b/>
        <sz val="10"/>
        <rFont val="Arial"/>
        <family val="2"/>
      </rPr>
      <t xml:space="preserve"> Tractor Beam</t>
    </r>
    <r>
      <rPr>
        <sz val="10"/>
        <rFont val="Arial"/>
        <family val="2"/>
      </rPr>
      <t xml:space="preserve"> / </t>
    </r>
    <r>
      <rPr>
        <sz val="8"/>
        <rFont val="Arial"/>
        <family val="2"/>
      </rPr>
      <t>BB Ability #</t>
    </r>
  </si>
  <si>
    <r>
      <t xml:space="preserve"> Shield Projector</t>
    </r>
    <r>
      <rPr>
        <sz val="10"/>
        <rFont val="Arial"/>
        <family val="2"/>
      </rPr>
      <t xml:space="preserve"> / </t>
    </r>
    <r>
      <rPr>
        <sz val="8"/>
        <rFont val="Arial"/>
        <family val="2"/>
      </rPr>
      <t>DN Ability #</t>
    </r>
  </si>
  <si>
    <t xml:space="preserve"> SCX #7</t>
  </si>
  <si>
    <t>Special Ability</t>
  </si>
  <si>
    <t xml:space="preserve"> SB</t>
  </si>
  <si>
    <t xml:space="preserve"> TN #1</t>
  </si>
  <si>
    <t xml:space="preserve"> TN #2</t>
  </si>
  <si>
    <t xml:space="preserve"> TN #3</t>
  </si>
  <si>
    <t xml:space="preserve"> TN #4</t>
  </si>
  <si>
    <t xml:space="preserve"> TN #5</t>
  </si>
  <si>
    <t xml:space="preserve"> R #1</t>
  </si>
  <si>
    <t xml:space="preserve"> R #2</t>
  </si>
  <si>
    <t xml:space="preserve"> R #3</t>
  </si>
  <si>
    <t xml:space="preserve"> R #4</t>
  </si>
  <si>
    <t xml:space="preserve"> R #5</t>
  </si>
  <si>
    <t xml:space="preserve"> R #6</t>
  </si>
  <si>
    <t xml:space="preserve"> Ground Combat</t>
  </si>
  <si>
    <t xml:space="preserve"> F #1</t>
  </si>
  <si>
    <t xml:space="preserve"> F #2</t>
  </si>
  <si>
    <t xml:space="preserve"> F #3</t>
  </si>
  <si>
    <t xml:space="preserve"> F #4</t>
  </si>
  <si>
    <t xml:space="preserve"> F #5</t>
  </si>
  <si>
    <t xml:space="preserve"> F #6</t>
  </si>
  <si>
    <t xml:space="preserve"> F #7</t>
  </si>
  <si>
    <t xml:space="preserve"> F #8</t>
  </si>
  <si>
    <t xml:space="preserve"> F #9</t>
  </si>
  <si>
    <t xml:space="preserve"> F #10</t>
  </si>
  <si>
    <t xml:space="preserve"> CV #1</t>
  </si>
  <si>
    <t xml:space="preserve"> CV #2</t>
  </si>
  <si>
    <t xml:space="preserve"> CV #3</t>
  </si>
  <si>
    <t xml:space="preserve"> CV #4</t>
  </si>
  <si>
    <t xml:space="preserve"> CV #5</t>
  </si>
  <si>
    <t xml:space="preserve"> CV #6</t>
  </si>
  <si>
    <t xml:space="preserve"> BV #1</t>
  </si>
  <si>
    <t xml:space="preserve"> BV #2</t>
  </si>
  <si>
    <t xml:space="preserve"> BV #3</t>
  </si>
  <si>
    <t xml:space="preserve"> BV #4</t>
  </si>
  <si>
    <t xml:space="preserve"> BV #5</t>
  </si>
  <si>
    <t xml:space="preserve"> BV #6</t>
  </si>
  <si>
    <t>Anti-Sensor Hull</t>
  </si>
  <si>
    <t>Scanners</t>
  </si>
  <si>
    <t xml:space="preserve"> Fast 2</t>
  </si>
  <si>
    <t xml:space="preserve"> Fast 1</t>
  </si>
  <si>
    <t xml:space="preserve"> SW #1</t>
  </si>
  <si>
    <t xml:space="preserve"> SW #2</t>
  </si>
  <si>
    <t xml:space="preserve"> SW #3</t>
  </si>
  <si>
    <t xml:space="preserve"> SW #4</t>
  </si>
  <si>
    <t xml:space="preserve"> SW #5</t>
  </si>
  <si>
    <t xml:space="preserve"> SW #6</t>
  </si>
  <si>
    <t xml:space="preserve"> Exploration 2</t>
  </si>
  <si>
    <t>Alternate Empire</t>
  </si>
  <si>
    <t>Advanced Munitions</t>
  </si>
  <si>
    <t>Tractor Beam</t>
  </si>
  <si>
    <t>+1 Att vs. HS &lt;=1</t>
  </si>
  <si>
    <t>Fast 1</t>
  </si>
  <si>
    <t>Space Pilgrim</t>
  </si>
  <si>
    <t>Second Salvo</t>
  </si>
  <si>
    <t>+1 Att vs. HS &gt;=2</t>
  </si>
  <si>
    <t>+1 Def vs. HS &gt;=2</t>
  </si>
  <si>
    <t>+1 Def vs. HS &lt;=1</t>
  </si>
  <si>
    <t>Shield Projector</t>
  </si>
  <si>
    <t>Construction Efficiency</t>
  </si>
  <si>
    <t>Point Defense</t>
  </si>
  <si>
    <t>Exploration</t>
  </si>
  <si>
    <t>Mini-Fighter Bay</t>
  </si>
  <si>
    <t>Design Weakness</t>
  </si>
  <si>
    <t>Construction Bay</t>
  </si>
  <si>
    <t>Warp Gates</t>
  </si>
  <si>
    <t>Heavy Warheads</t>
  </si>
  <si>
    <t xml:space="preserve"> T #1</t>
  </si>
  <si>
    <t xml:space="preserve"> T #2</t>
  </si>
  <si>
    <t xml:space="preserve"> T #3</t>
  </si>
  <si>
    <t xml:space="preserve"> T #4</t>
  </si>
  <si>
    <t xml:space="preserve"> T #5</t>
  </si>
  <si>
    <t xml:space="preserve"> T #6</t>
  </si>
  <si>
    <t xml:space="preserve"> Inf</t>
  </si>
  <si>
    <t xml:space="preserve"> Ground Combat 3</t>
  </si>
  <si>
    <t xml:space="preserve"> Mar</t>
  </si>
  <si>
    <t xml:space="preserve"> HI</t>
  </si>
  <si>
    <t xml:space="preserve"> Grav</t>
  </si>
  <si>
    <t xml:space="preserve"> CyberA</t>
  </si>
  <si>
    <t xml:space="preserve"> MinerX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</si>
</sst>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 ;[Red]\-0\ "/>
  </numFmts>
  <fonts count="25" x14ac:knownFonts="1"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9"/>
      <color indexed="12"/>
      <name val="Arial"/>
      <family val="2"/>
    </font>
    <font>
      <b/>
      <sz val="10"/>
      <color indexed="12"/>
      <name val="Arial"/>
      <family val="2"/>
    </font>
    <font>
      <b/>
      <i/>
      <sz val="12"/>
      <name val="Arial"/>
      <family val="2"/>
    </font>
    <font>
      <sz val="14"/>
      <name val="Arial"/>
      <family val="2"/>
    </font>
    <font>
      <sz val="10.5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b/>
      <sz val="10"/>
      <color theme="0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sz val="10.5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sz val="8"/>
      <color theme="0" tint="-0.499984740745262"/>
      <name val="Arial"/>
      <family val="2"/>
    </font>
    <font>
      <sz val="10"/>
      <color theme="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27"/>
      </patternFill>
    </fill>
    <fill>
      <patternFill patternType="solid">
        <fgColor theme="2"/>
        <bgColor indexed="27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43"/>
      </patternFill>
    </fill>
    <fill>
      <patternFill patternType="solid">
        <fgColor theme="0" tint="-0.249977111117893"/>
        <bgColor indexed="43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43"/>
      </patternFill>
    </fill>
    <fill>
      <patternFill patternType="solid">
        <fgColor theme="0"/>
        <bgColor indexed="27"/>
      </patternFill>
    </fill>
    <fill>
      <patternFill patternType="solid">
        <fgColor theme="2"/>
        <bgColor indexed="43"/>
      </patternFill>
    </fill>
  </fills>
  <borders count="57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/>
    <xf numFmtId="0" fontId="0" fillId="0" borderId="16" xfId="0" applyBorder="1" applyAlignment="1">
      <alignment horizontal="right"/>
    </xf>
    <xf numFmtId="0" fontId="0" fillId="0" borderId="16" xfId="0" applyBorder="1"/>
    <xf numFmtId="0" fontId="0" fillId="0" borderId="15" xfId="0" applyBorder="1"/>
    <xf numFmtId="0" fontId="0" fillId="0" borderId="14" xfId="0" applyBorder="1" applyAlignment="1">
      <alignment horizontal="right"/>
    </xf>
    <xf numFmtId="0" fontId="4" fillId="0" borderId="2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2" xfId="0" applyFont="1" applyBorder="1"/>
    <xf numFmtId="0" fontId="2" fillId="0" borderId="8" xfId="0" applyFont="1" applyBorder="1"/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2" fillId="0" borderId="29" xfId="0" applyFont="1" applyBorder="1"/>
    <xf numFmtId="0" fontId="2" fillId="0" borderId="26" xfId="0" applyFont="1" applyBorder="1"/>
    <xf numFmtId="0" fontId="2" fillId="0" borderId="20" xfId="0" applyFont="1" applyBorder="1"/>
    <xf numFmtId="0" fontId="2" fillId="4" borderId="15" xfId="0" applyFont="1" applyFill="1" applyBorder="1"/>
    <xf numFmtId="0" fontId="0" fillId="0" borderId="14" xfId="0" quotePrefix="1" applyBorder="1" applyAlignment="1">
      <alignment horizontal="right"/>
    </xf>
    <xf numFmtId="0" fontId="0" fillId="0" borderId="11" xfId="0" quotePrefix="1" applyBorder="1" applyAlignment="1">
      <alignment horizontal="right"/>
    </xf>
    <xf numFmtId="0" fontId="2" fillId="6" borderId="3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164" fontId="0" fillId="0" borderId="17" xfId="0" applyNumberFormat="1" applyBorder="1" applyAlignment="1" applyProtection="1">
      <alignment horizontal="center"/>
      <protection locked="0"/>
    </xf>
    <xf numFmtId="164" fontId="0" fillId="5" borderId="18" xfId="0" applyNumberFormat="1" applyFill="1" applyBorder="1" applyAlignment="1" applyProtection="1">
      <alignment horizontal="center"/>
      <protection locked="0"/>
    </xf>
    <xf numFmtId="164" fontId="0" fillId="0" borderId="18" xfId="0" applyNumberFormat="1" applyBorder="1" applyAlignment="1" applyProtection="1">
      <alignment horizontal="center"/>
      <protection locked="0"/>
    </xf>
    <xf numFmtId="164" fontId="0" fillId="5" borderId="19" xfId="0" applyNumberFormat="1" applyFill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164" fontId="0" fillId="5" borderId="6" xfId="0" applyNumberFormat="1" applyFill="1" applyBorder="1" applyAlignment="1" applyProtection="1">
      <alignment horizontal="center"/>
      <protection locked="0"/>
    </xf>
    <xf numFmtId="164" fontId="0" fillId="0" borderId="6" xfId="0" applyNumberFormat="1" applyBorder="1" applyAlignment="1" applyProtection="1">
      <alignment horizontal="center"/>
      <protection locked="0"/>
    </xf>
    <xf numFmtId="164" fontId="0" fillId="5" borderId="7" xfId="0" applyNumberFormat="1" applyFill="1" applyBorder="1" applyAlignment="1" applyProtection="1">
      <alignment horizontal="center"/>
      <protection locked="0"/>
    </xf>
    <xf numFmtId="0" fontId="2" fillId="0" borderId="11" xfId="0" applyFont="1" applyBorder="1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7" fillId="0" borderId="0" xfId="0" applyFont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0" fillId="0" borderId="0" xfId="0" quotePrefix="1"/>
    <xf numFmtId="0" fontId="20" fillId="0" borderId="9" xfId="0" applyFont="1" applyBorder="1"/>
    <xf numFmtId="0" fontId="11" fillId="0" borderId="9" xfId="0" applyFont="1" applyBorder="1"/>
    <xf numFmtId="0" fontId="2" fillId="3" borderId="8" xfId="0" applyFont="1" applyFill="1" applyBorder="1"/>
    <xf numFmtId="0" fontId="20" fillId="3" borderId="9" xfId="0" applyFont="1" applyFill="1" applyBorder="1" applyAlignment="1" applyProtection="1">
      <alignment horizontal="center"/>
      <protection locked="0"/>
    </xf>
    <xf numFmtId="0" fontId="20" fillId="3" borderId="9" xfId="0" applyFont="1" applyFill="1" applyBorder="1"/>
    <xf numFmtId="0" fontId="20" fillId="8" borderId="9" xfId="0" applyFont="1" applyFill="1" applyBorder="1" applyAlignment="1">
      <alignment horizontal="center"/>
    </xf>
    <xf numFmtId="0" fontId="20" fillId="8" borderId="9" xfId="0" applyFont="1" applyFill="1" applyBorder="1" applyAlignment="1">
      <alignment horizontal="left"/>
    </xf>
    <xf numFmtId="0" fontId="11" fillId="3" borderId="9" xfId="0" applyFont="1" applyFill="1" applyBorder="1"/>
    <xf numFmtId="0" fontId="21" fillId="0" borderId="0" xfId="0" applyFont="1"/>
    <xf numFmtId="0" fontId="0" fillId="9" borderId="0" xfId="0" applyFill="1"/>
    <xf numFmtId="0" fontId="20" fillId="0" borderId="9" xfId="0" applyFont="1" applyBorder="1" applyAlignment="1" applyProtection="1">
      <alignment horizontal="center"/>
      <protection locked="0"/>
    </xf>
    <xf numFmtId="0" fontId="20" fillId="5" borderId="9" xfId="0" applyFont="1" applyFill="1" applyBorder="1" applyAlignment="1" applyProtection="1">
      <alignment horizontal="center"/>
      <protection locked="0"/>
    </xf>
    <xf numFmtId="0" fontId="19" fillId="7" borderId="22" xfId="0" applyFont="1" applyFill="1" applyBorder="1" applyAlignment="1">
      <alignment horizontal="center"/>
    </xf>
    <xf numFmtId="0" fontId="19" fillId="7" borderId="36" xfId="0" applyFont="1" applyFill="1" applyBorder="1" applyAlignment="1">
      <alignment horizontal="center"/>
    </xf>
    <xf numFmtId="0" fontId="20" fillId="8" borderId="8" xfId="0" applyFont="1" applyFill="1" applyBorder="1" applyAlignment="1">
      <alignment horizontal="left"/>
    </xf>
    <xf numFmtId="0" fontId="21" fillId="9" borderId="0" xfId="0" applyFont="1" applyFill="1"/>
    <xf numFmtId="0" fontId="2" fillId="0" borderId="46" xfId="0" applyFont="1" applyBorder="1"/>
    <xf numFmtId="0" fontId="2" fillId="0" borderId="5" xfId="0" applyFont="1" applyBorder="1"/>
    <xf numFmtId="0" fontId="0" fillId="0" borderId="8" xfId="0" quotePrefix="1" applyBorder="1" applyAlignment="1">
      <alignment horizontal="right"/>
    </xf>
    <xf numFmtId="0" fontId="0" fillId="0" borderId="5" xfId="0" quotePrefix="1" applyBorder="1" applyAlignment="1">
      <alignment horizontal="right"/>
    </xf>
    <xf numFmtId="0" fontId="23" fillId="0" borderId="16" xfId="0" quotePrefix="1" applyFont="1" applyBorder="1" applyAlignment="1">
      <alignment horizontal="right"/>
    </xf>
    <xf numFmtId="0" fontId="0" fillId="0" borderId="53" xfId="0" applyBorder="1" applyAlignment="1">
      <alignment horizontal="right"/>
    </xf>
    <xf numFmtId="0" fontId="19" fillId="7" borderId="24" xfId="0" applyFont="1" applyFill="1" applyBorder="1" applyAlignment="1">
      <alignment horizontal="center"/>
    </xf>
    <xf numFmtId="0" fontId="2" fillId="10" borderId="8" xfId="0" applyFont="1" applyFill="1" applyBorder="1" applyAlignment="1">
      <alignment horizontal="left"/>
    </xf>
    <xf numFmtId="0" fontId="20" fillId="10" borderId="9" xfId="0" applyFont="1" applyFill="1" applyBorder="1" applyAlignment="1">
      <alignment horizontal="center"/>
    </xf>
    <xf numFmtId="0" fontId="20" fillId="10" borderId="9" xfId="0" applyFont="1" applyFill="1" applyBorder="1" applyAlignment="1">
      <alignment horizontal="left"/>
    </xf>
    <xf numFmtId="0" fontId="20" fillId="11" borderId="9" xfId="0" applyFont="1" applyFill="1" applyBorder="1" applyAlignment="1" applyProtection="1">
      <alignment horizontal="center"/>
      <protection locked="0"/>
    </xf>
    <xf numFmtId="0" fontId="20" fillId="3" borderId="9" xfId="0" applyFont="1" applyFill="1" applyBorder="1" applyAlignment="1" applyProtection="1">
      <alignment horizontal="left"/>
      <protection locked="0"/>
    </xf>
    <xf numFmtId="0" fontId="20" fillId="0" borderId="9" xfId="0" applyFont="1" applyBorder="1" applyAlignment="1" applyProtection="1">
      <alignment horizontal="left"/>
      <protection locked="0"/>
    </xf>
    <xf numFmtId="0" fontId="20" fillId="5" borderId="9" xfId="0" applyFont="1" applyFill="1" applyBorder="1" applyAlignment="1" applyProtection="1">
      <alignment horizontal="left"/>
      <protection locked="0"/>
    </xf>
    <xf numFmtId="0" fontId="11" fillId="0" borderId="9" xfId="0" applyFont="1" applyBorder="1" applyAlignment="1">
      <alignment horizontal="left"/>
    </xf>
    <xf numFmtId="0" fontId="11" fillId="3" borderId="9" xfId="0" applyFont="1" applyFill="1" applyBorder="1" applyAlignment="1">
      <alignment horizontal="left"/>
    </xf>
    <xf numFmtId="0" fontId="19" fillId="7" borderId="25" xfId="0" applyFont="1" applyFill="1" applyBorder="1" applyAlignment="1">
      <alignment horizontal="center"/>
    </xf>
    <xf numFmtId="0" fontId="19" fillId="7" borderId="56" xfId="0" applyFont="1" applyFill="1" applyBorder="1" applyAlignment="1">
      <alignment horizontal="center"/>
    </xf>
    <xf numFmtId="0" fontId="20" fillId="12" borderId="9" xfId="0" applyFont="1" applyFill="1" applyBorder="1" applyAlignment="1">
      <alignment horizontal="center"/>
    </xf>
    <xf numFmtId="0" fontId="0" fillId="0" borderId="11" xfId="0" applyBorder="1"/>
    <xf numFmtId="0" fontId="20" fillId="8" borderId="10" xfId="0" applyFont="1" applyFill="1" applyBorder="1" applyAlignment="1">
      <alignment horizontal="left"/>
    </xf>
    <xf numFmtId="0" fontId="20" fillId="8" borderId="27" xfId="0" applyFont="1" applyFill="1" applyBorder="1" applyAlignment="1">
      <alignment horizontal="center"/>
    </xf>
    <xf numFmtId="0" fontId="20" fillId="0" borderId="27" xfId="0" applyFont="1" applyBorder="1" applyAlignment="1" applyProtection="1">
      <alignment horizontal="center"/>
      <protection locked="0"/>
    </xf>
    <xf numFmtId="0" fontId="20" fillId="3" borderId="27" xfId="0" applyFont="1" applyFill="1" applyBorder="1" applyAlignment="1" applyProtection="1">
      <alignment horizontal="center"/>
      <protection locked="0"/>
    </xf>
    <xf numFmtId="0" fontId="20" fillId="5" borderId="27" xfId="0" applyFont="1" applyFill="1" applyBorder="1" applyAlignment="1" applyProtection="1">
      <alignment horizontal="center"/>
      <protection locked="0"/>
    </xf>
    <xf numFmtId="0" fontId="11" fillId="3" borderId="27" xfId="0" applyFont="1" applyFill="1" applyBorder="1"/>
    <xf numFmtId="0" fontId="20" fillId="0" borderId="9" xfId="0" applyFont="1" applyBorder="1" applyAlignment="1">
      <alignment horizontal="center"/>
    </xf>
    <xf numFmtId="0" fontId="20" fillId="5" borderId="9" xfId="0" applyFont="1" applyFill="1" applyBorder="1" applyAlignment="1">
      <alignment horizontal="center"/>
    </xf>
    <xf numFmtId="0" fontId="23" fillId="0" borderId="16" xfId="0" quotePrefix="1" applyFont="1" applyBorder="1" applyAlignment="1">
      <alignment horizontal="left"/>
    </xf>
    <xf numFmtId="0" fontId="2" fillId="5" borderId="30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0" fontId="2" fillId="5" borderId="47" xfId="0" applyFont="1" applyFill="1" applyBorder="1" applyAlignment="1">
      <alignment horizontal="center"/>
    </xf>
    <xf numFmtId="0" fontId="16" fillId="7" borderId="29" xfId="0" applyFont="1" applyFill="1" applyBorder="1" applyAlignment="1" applyProtection="1">
      <alignment horizontal="center"/>
      <protection locked="0"/>
    </xf>
    <xf numFmtId="0" fontId="16" fillId="7" borderId="26" xfId="0" applyFont="1" applyFill="1" applyBorder="1" applyAlignment="1" applyProtection="1">
      <alignment horizontal="center"/>
      <protection locked="0"/>
    </xf>
    <xf numFmtId="0" fontId="16" fillId="7" borderId="46" xfId="0" applyFont="1" applyFill="1" applyBorder="1" applyAlignment="1" applyProtection="1">
      <alignment horizontal="center"/>
      <protection locked="0"/>
    </xf>
    <xf numFmtId="0" fontId="2" fillId="5" borderId="26" xfId="0" applyFont="1" applyFill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0" fillId="5" borderId="6" xfId="0" applyNumberFormat="1" applyFill="1" applyBorder="1" applyAlignment="1" applyProtection="1">
      <alignment horizontal="center"/>
      <protection hidden="1"/>
    </xf>
    <xf numFmtId="164" fontId="0" fillId="5" borderId="7" xfId="0" applyNumberFormat="1" applyFill="1" applyBorder="1" applyAlignment="1" applyProtection="1">
      <alignment horizontal="center"/>
      <protection hidden="1"/>
    </xf>
    <xf numFmtId="164" fontId="0" fillId="0" borderId="8" xfId="0" applyNumberFormat="1" applyBorder="1" applyAlignment="1" applyProtection="1">
      <alignment horizontal="center"/>
      <protection locked="0"/>
    </xf>
    <xf numFmtId="164" fontId="0" fillId="0" borderId="9" xfId="0" applyNumberFormat="1" applyBorder="1" applyAlignment="1" applyProtection="1">
      <alignment horizontal="center"/>
      <protection locked="0"/>
    </xf>
    <xf numFmtId="164" fontId="0" fillId="0" borderId="10" xfId="0" applyNumberFormat="1" applyBorder="1" applyAlignment="1" applyProtection="1">
      <alignment horizontal="center"/>
      <protection locked="0"/>
    </xf>
    <xf numFmtId="164" fontId="2" fillId="5" borderId="5" xfId="0" applyNumberFormat="1" applyFont="1" applyFill="1" applyBorder="1" applyAlignment="1">
      <alignment horizontal="center"/>
    </xf>
    <xf numFmtId="164" fontId="0" fillId="0" borderId="11" xfId="0" applyNumberFormat="1" applyBorder="1" applyAlignment="1" applyProtection="1">
      <alignment horizontal="center"/>
      <protection locked="0"/>
    </xf>
    <xf numFmtId="164" fontId="0" fillId="0" borderId="12" xfId="0" applyNumberFormat="1" applyBorder="1" applyAlignment="1" applyProtection="1">
      <alignment horizontal="center"/>
      <protection locked="0"/>
    </xf>
    <xf numFmtId="164" fontId="0" fillId="0" borderId="13" xfId="0" applyNumberFormat="1" applyBorder="1" applyAlignment="1" applyProtection="1">
      <alignment horizontal="center"/>
      <protection locked="0"/>
    </xf>
    <xf numFmtId="164" fontId="2" fillId="2" borderId="8" xfId="0" applyNumberFormat="1" applyFont="1" applyFill="1" applyBorder="1" applyAlignment="1" applyProtection="1">
      <alignment horizontal="center"/>
      <protection hidden="1"/>
    </xf>
    <xf numFmtId="164" fontId="2" fillId="2" borderId="9" xfId="0" applyNumberFormat="1" applyFont="1" applyFill="1" applyBorder="1" applyAlignment="1" applyProtection="1">
      <alignment horizontal="center"/>
      <protection hidden="1"/>
    </xf>
    <xf numFmtId="164" fontId="2" fillId="2" borderId="10" xfId="0" applyNumberFormat="1" applyFont="1" applyFill="1" applyBorder="1" applyAlignment="1" applyProtection="1">
      <alignment horizontal="center"/>
      <protection hidden="1"/>
    </xf>
    <xf numFmtId="164" fontId="0" fillId="5" borderId="9" xfId="0" applyNumberFormat="1" applyFill="1" applyBorder="1" applyAlignment="1">
      <alignment horizontal="center"/>
    </xf>
    <xf numFmtId="164" fontId="0" fillId="5" borderId="10" xfId="0" applyNumberFormat="1" applyFill="1" applyBorder="1" applyAlignment="1">
      <alignment horizontal="center"/>
    </xf>
    <xf numFmtId="164" fontId="0" fillId="3" borderId="8" xfId="0" applyNumberFormat="1" applyFill="1" applyBorder="1" applyAlignment="1" applyProtection="1">
      <alignment horizontal="center"/>
      <protection hidden="1"/>
    </xf>
    <xf numFmtId="164" fontId="0" fillId="3" borderId="9" xfId="0" applyNumberFormat="1" applyFill="1" applyBorder="1" applyAlignment="1" applyProtection="1">
      <alignment horizontal="center"/>
      <protection hidden="1"/>
    </xf>
    <xf numFmtId="164" fontId="0" fillId="3" borderId="10" xfId="0" applyNumberFormat="1" applyFill="1" applyBorder="1" applyAlignment="1" applyProtection="1">
      <alignment horizontal="center"/>
      <protection hidden="1"/>
    </xf>
    <xf numFmtId="164" fontId="2" fillId="4" borderId="8" xfId="0" applyNumberFormat="1" applyFont="1" applyFill="1" applyBorder="1" applyAlignment="1" applyProtection="1">
      <alignment horizontal="center"/>
      <protection hidden="1"/>
    </xf>
    <xf numFmtId="164" fontId="2" fillId="4" borderId="9" xfId="0" applyNumberFormat="1" applyFont="1" applyFill="1" applyBorder="1" applyAlignment="1" applyProtection="1">
      <alignment horizontal="center"/>
      <protection hidden="1"/>
    </xf>
    <xf numFmtId="164" fontId="2" fillId="4" borderId="10" xfId="0" applyNumberFormat="1" applyFont="1" applyFill="1" applyBorder="1" applyAlignment="1" applyProtection="1">
      <alignment horizontal="center"/>
      <protection hidden="1"/>
    </xf>
    <xf numFmtId="164" fontId="0" fillId="0" borderId="33" xfId="0" applyNumberFormat="1" applyBorder="1" applyAlignment="1" applyProtection="1">
      <alignment horizontal="center"/>
      <protection locked="0"/>
    </xf>
    <xf numFmtId="164" fontId="0" fillId="0" borderId="37" xfId="0" applyNumberFormat="1" applyBorder="1" applyAlignment="1" applyProtection="1">
      <alignment horizontal="center"/>
      <protection locked="0"/>
    </xf>
    <xf numFmtId="164" fontId="0" fillId="0" borderId="38" xfId="0" applyNumberFormat="1" applyBorder="1" applyAlignment="1" applyProtection="1">
      <alignment horizontal="center"/>
      <protection locked="0"/>
    </xf>
    <xf numFmtId="0" fontId="2" fillId="5" borderId="23" xfId="0" applyFont="1" applyFill="1" applyBorder="1" applyAlignment="1">
      <alignment horizontal="center"/>
    </xf>
    <xf numFmtId="0" fontId="16" fillId="7" borderId="23" xfId="0" applyFont="1" applyFill="1" applyBorder="1" applyAlignment="1" applyProtection="1">
      <alignment horizontal="center"/>
      <protection locked="0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5" xfId="0" applyBorder="1" applyAlignment="1">
      <alignment horizontal="center"/>
    </xf>
    <xf numFmtId="0" fontId="5" fillId="5" borderId="21" xfId="0" applyFont="1" applyFill="1" applyBorder="1" applyAlignment="1">
      <alignment horizontal="center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0" fillId="0" borderId="27" xfId="0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2" fillId="5" borderId="29" xfId="0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32" xfId="0" applyFont="1" applyFill="1" applyBorder="1" applyAlignment="1">
      <alignment horizontal="center"/>
    </xf>
    <xf numFmtId="0" fontId="16" fillId="7" borderId="14" xfId="0" applyFont="1" applyFill="1" applyBorder="1" applyAlignment="1" applyProtection="1">
      <alignment horizontal="center"/>
      <protection locked="0"/>
    </xf>
    <xf numFmtId="0" fontId="16" fillId="7" borderId="32" xfId="0" applyFont="1" applyFill="1" applyBorder="1" applyAlignment="1" applyProtection="1">
      <alignment horizontal="center"/>
      <protection locked="0"/>
    </xf>
    <xf numFmtId="0" fontId="0" fillId="0" borderId="44" xfId="0" applyBorder="1" applyAlignment="1">
      <alignment horizontal="center"/>
    </xf>
    <xf numFmtId="0" fontId="2" fillId="5" borderId="34" xfId="0" applyFont="1" applyFill="1" applyBorder="1" applyAlignment="1">
      <alignment horizontal="center"/>
    </xf>
    <xf numFmtId="0" fontId="16" fillId="7" borderId="20" xfId="0" applyFont="1" applyFill="1" applyBorder="1" applyAlignment="1" applyProtection="1">
      <alignment horizontal="center"/>
      <protection locked="0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4" xfId="0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19" fillId="7" borderId="24" xfId="0" applyFont="1" applyFill="1" applyBorder="1" applyAlignment="1">
      <alignment horizontal="center"/>
    </xf>
    <xf numFmtId="0" fontId="19" fillId="7" borderId="25" xfId="0" applyFont="1" applyFill="1" applyBorder="1" applyAlignment="1">
      <alignment horizontal="center"/>
    </xf>
    <xf numFmtId="0" fontId="19" fillId="7" borderId="54" xfId="0" applyFont="1" applyFill="1" applyBorder="1" applyAlignment="1">
      <alignment horizontal="center"/>
    </xf>
    <xf numFmtId="0" fontId="1" fillId="0" borderId="55" xfId="0" applyFont="1" applyBorder="1" applyAlignment="1">
      <alignment horizontal="center" vertical="center"/>
    </xf>
    <xf numFmtId="0" fontId="24" fillId="0" borderId="0" xfId="0" applyFont="1"/>
    <xf numFmtId="0" fontId="20" fillId="0" borderId="9" xfId="0" applyFont="1" applyFill="1" applyBorder="1" applyAlignment="1" applyProtection="1">
      <alignment horizontal="center"/>
      <protection locked="0"/>
    </xf>
    <xf numFmtId="0" fontId="20" fillId="8" borderId="13" xfId="0" applyFont="1" applyFill="1" applyBorder="1" applyAlignment="1">
      <alignment horizontal="left"/>
    </xf>
    <xf numFmtId="0" fontId="19" fillId="7" borderId="10" xfId="0" applyFont="1" applyFill="1" applyBorder="1" applyAlignment="1">
      <alignment horizontal="center"/>
    </xf>
    <xf numFmtId="0" fontId="11" fillId="5" borderId="27" xfId="0" applyFont="1" applyFill="1" applyBorder="1"/>
    <xf numFmtId="0" fontId="20" fillId="3" borderId="9" xfId="0" applyFont="1" applyFill="1" applyBorder="1" applyAlignment="1">
      <alignment horizontal="left"/>
    </xf>
    <xf numFmtId="0" fontId="2" fillId="0" borderId="8" xfId="0" applyFont="1" applyFill="1" applyBorder="1"/>
    <xf numFmtId="0" fontId="20" fillId="0" borderId="9" xfId="0" applyFont="1" applyFill="1" applyBorder="1"/>
    <xf numFmtId="0" fontId="11" fillId="0" borderId="9" xfId="0" applyFont="1" applyFill="1" applyBorder="1" applyAlignment="1">
      <alignment horizontal="left"/>
    </xf>
    <xf numFmtId="0" fontId="11" fillId="0" borderId="9" xfId="0" applyFont="1" applyFill="1" applyBorder="1"/>
    <xf numFmtId="0" fontId="11" fillId="0" borderId="27" xfId="0" applyFont="1" applyFill="1" applyBorder="1"/>
    <xf numFmtId="0" fontId="0" fillId="0" borderId="0" xfId="0" applyAlignment="1">
      <alignment horizontal="left"/>
    </xf>
    <xf numFmtId="0" fontId="21" fillId="0" borderId="0" xfId="0" applyFont="1" applyAlignment="1">
      <alignment horizontal="center"/>
    </xf>
    <xf numFmtId="0" fontId="21" fillId="0" borderId="12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1" fillId="0" borderId="12" xfId="0" quotePrefix="1" applyFont="1" applyBorder="1" applyAlignment="1">
      <alignment horizontal="center" vertical="center"/>
    </xf>
    <xf numFmtId="0" fontId="21" fillId="5" borderId="12" xfId="0" quotePrefix="1" applyFont="1" applyFill="1" applyBorder="1" applyAlignment="1">
      <alignment horizontal="center" vertical="center"/>
    </xf>
    <xf numFmtId="0" fontId="24" fillId="0" borderId="0" xfId="0" quotePrefix="1" applyFont="1"/>
    <xf numFmtId="0" fontId="0" fillId="0" borderId="0" xfId="0" applyFill="1"/>
    <xf numFmtId="0" fontId="20" fillId="0" borderId="9" xfId="0" applyFont="1" applyFill="1" applyBorder="1" applyAlignment="1">
      <alignment horizontal="center"/>
    </xf>
    <xf numFmtId="0" fontId="20" fillId="0" borderId="9" xfId="0" applyFont="1" applyFill="1" applyBorder="1" applyAlignment="1" applyProtection="1">
      <alignment horizontal="left"/>
      <protection locked="0"/>
    </xf>
    <xf numFmtId="0" fontId="20" fillId="0" borderId="27" xfId="0" applyFont="1" applyFill="1" applyBorder="1" applyAlignment="1" applyProtection="1">
      <alignment horizontal="center"/>
      <protection locked="0"/>
    </xf>
    <xf numFmtId="0" fontId="2" fillId="6" borderId="8" xfId="0" applyFont="1" applyFill="1" applyBorder="1"/>
    <xf numFmtId="0" fontId="20" fillId="6" borderId="9" xfId="0" applyFont="1" applyFill="1" applyBorder="1" applyAlignment="1" applyProtection="1">
      <alignment horizontal="center"/>
      <protection locked="0"/>
    </xf>
    <xf numFmtId="0" fontId="20" fillId="6" borderId="9" xfId="0" applyFont="1" applyFill="1" applyBorder="1" applyAlignment="1">
      <alignment horizontal="center"/>
    </xf>
    <xf numFmtId="0" fontId="20" fillId="6" borderId="9" xfId="0" applyFont="1" applyFill="1" applyBorder="1"/>
    <xf numFmtId="0" fontId="20" fillId="6" borderId="9" xfId="0" applyFont="1" applyFill="1" applyBorder="1" applyAlignment="1" applyProtection="1">
      <alignment horizontal="left"/>
      <protection locked="0"/>
    </xf>
    <xf numFmtId="0" fontId="20" fillId="6" borderId="27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263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2"/>
      </font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2"/>
      </font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color theme="2"/>
      </font>
    </dxf>
    <dxf>
      <fill>
        <patternFill>
          <bgColor theme="2"/>
        </patternFill>
      </fill>
    </dxf>
    <dxf>
      <font>
        <color theme="2"/>
      </font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color theme="2"/>
      </font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color theme="2"/>
      </font>
    </dxf>
    <dxf>
      <fill>
        <patternFill>
          <bgColor theme="2"/>
        </patternFill>
      </fill>
    </dxf>
    <dxf>
      <font>
        <color theme="2"/>
      </font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color theme="2"/>
      </font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1" defaultTableStyle="TableStyleMedium2" defaultPivotStyle="PivotStyleLight16">
    <tableStyle name="Invisible" pivot="0" table="0" count="0" xr9:uid="{3AF0A2D9-9786-4AD9-90CD-268DE0F677FE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FF"/>
      <rgbColor rgb="00DC2300"/>
      <rgbColor rgb="0000FF00"/>
      <rgbColor rgb="002300D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E6E6E6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323D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$T$31" lockText="1" noThreeD="1"/>
</file>

<file path=xl/ctrlProps/ctrlProp2.xml><?xml version="1.0" encoding="utf-8"?>
<formControlPr xmlns="http://schemas.microsoft.com/office/spreadsheetml/2009/9/main" objectType="CheckBox" fmlaLink="A8" lockText="1" noThreeD="1"/>
</file>

<file path=xl/ctrlProps/ctrlProp3.xml><?xml version="1.0" encoding="utf-8"?>
<formControlPr xmlns="http://schemas.microsoft.com/office/spreadsheetml/2009/9/main" objectType="CheckBox" fmlaLink="D8" lockText="1" noThreeD="1"/>
</file>

<file path=xl/ctrlProps/ctrlProp4.xml><?xml version="1.0" encoding="utf-8"?>
<formControlPr xmlns="http://schemas.microsoft.com/office/spreadsheetml/2009/9/main" objectType="CheckBox" fmlaLink="A9" lockText="1" noThreeD="1"/>
</file>

<file path=xl/ctrlProps/ctrlProp5.xml><?xml version="1.0" encoding="utf-8"?>
<formControlPr xmlns="http://schemas.microsoft.com/office/spreadsheetml/2009/9/main" objectType="CheckBox" fmlaLink="D9" lockText="1" noThreeD="1"/>
</file>

<file path=xl/ctrlProps/ctrlProp6.xml><?xml version="1.0" encoding="utf-8"?>
<formControlPr xmlns="http://schemas.microsoft.com/office/spreadsheetml/2009/9/main" objectType="CheckBox" fmlaLink="A10" lockText="1" noThreeD="1"/>
</file>

<file path=xl/ctrlProps/ctrlProp7.xml><?xml version="1.0" encoding="utf-8"?>
<formControlPr xmlns="http://schemas.microsoft.com/office/spreadsheetml/2009/9/main" objectType="CheckBox" fmlaLink="D10" lockText="1" noThreeD="1"/>
</file>

<file path=xl/ctrlProps/ctrlProp8.xml><?xml version="1.0" encoding="utf-8"?>
<formControlPr xmlns="http://schemas.microsoft.com/office/spreadsheetml/2009/9/main" objectType="CheckBox" fmlaLink="A11" lockText="1" noThreeD="1"/>
</file>

<file path=xl/ctrlProps/ctrlProp9.xml><?xml version="1.0" encoding="utf-8"?>
<formControlPr xmlns="http://schemas.microsoft.com/office/spreadsheetml/2009/9/main" objectType="CheckBox" fmlaLink="D11" lockText="1" noThreeD="1"/>
</file>

<file path=xl/ctrlProps/ctrlProp10.xml><?xml version="1.0" encoding="utf-8"?>
<formControlPr xmlns="http://schemas.microsoft.com/office/spreadsheetml/2009/9/main" objectType="CheckBox" fmlaLink="A12" lockText="1" noThreeD="1"/>
</file>

<file path=xl/ctrlProps/ctrlProp11.xml><?xml version="1.0" encoding="utf-8"?>
<formControlPr xmlns="http://schemas.microsoft.com/office/spreadsheetml/2009/9/main" objectType="CheckBox" fmlaLink="D12" lockText="1" noThreeD="1"/>
</file>

<file path=xl/ctrlProps/ctrlProp12.xml><?xml version="1.0" encoding="utf-8"?>
<formControlPr xmlns="http://schemas.microsoft.com/office/spreadsheetml/2009/9/main" objectType="CheckBox" fmlaLink="A13" lockText="1" noThreeD="1"/>
</file>

<file path=xl/ctrlProps/ctrlProp13.xml><?xml version="1.0" encoding="utf-8"?>
<formControlPr xmlns="http://schemas.microsoft.com/office/spreadsheetml/2009/9/main" objectType="CheckBox" fmlaLink="D13" lockText="1" noThreeD="1"/>
</file>

<file path=xl/ctrlProps/ctrlProp14.xml><?xml version="1.0" encoding="utf-8"?>
<formControlPr xmlns="http://schemas.microsoft.com/office/spreadsheetml/2009/9/main" objectType="CheckBox" fmlaLink="A14" lockText="1" noThreeD="1"/>
</file>

<file path=xl/ctrlProps/ctrlProp15.xml><?xml version="1.0" encoding="utf-8"?>
<formControlPr xmlns="http://schemas.microsoft.com/office/spreadsheetml/2009/9/main" objectType="CheckBox" fmlaLink="D14" lockText="1" noThreeD="1"/>
</file>

<file path=xl/ctrlProps/ctrlProp16.xml><?xml version="1.0" encoding="utf-8"?>
<formControlPr xmlns="http://schemas.microsoft.com/office/spreadsheetml/2009/9/main" objectType="CheckBox" fmlaLink="A16" lockText="1" noThreeD="1"/>
</file>

<file path=xl/ctrlProps/ctrlProp17.xml><?xml version="1.0" encoding="utf-8"?>
<formControlPr xmlns="http://schemas.microsoft.com/office/spreadsheetml/2009/9/main" objectType="CheckBox" fmlaLink="D16" lockText="1" noThreeD="1"/>
</file>

<file path=xl/ctrlProps/ctrlProp18.xml><?xml version="1.0" encoding="utf-8"?>
<formControlPr xmlns="http://schemas.microsoft.com/office/spreadsheetml/2009/9/main" objectType="CheckBox" fmlaLink="A17" lockText="1" noThreeD="1"/>
</file>

<file path=xl/ctrlProps/ctrlProp19.xml><?xml version="1.0" encoding="utf-8"?>
<formControlPr xmlns="http://schemas.microsoft.com/office/spreadsheetml/2009/9/main" objectType="CheckBox" fmlaLink="D17" lockText="1" noThreeD="1"/>
</file>

<file path=xl/ctrlProps/ctrlProp20.xml><?xml version="1.0" encoding="utf-8"?>
<formControlPr xmlns="http://schemas.microsoft.com/office/spreadsheetml/2009/9/main" objectType="CheckBox" fmlaLink="A18" lockText="1" noThreeD="1"/>
</file>

<file path=xl/ctrlProps/ctrlProp21.xml><?xml version="1.0" encoding="utf-8"?>
<formControlPr xmlns="http://schemas.microsoft.com/office/spreadsheetml/2009/9/main" objectType="CheckBox" fmlaLink="D18" lockText="1" noThreeD="1"/>
</file>

<file path=xl/ctrlProps/ctrlProp22.xml><?xml version="1.0" encoding="utf-8"?>
<formControlPr xmlns="http://schemas.microsoft.com/office/spreadsheetml/2009/9/main" objectType="CheckBox" fmlaLink="A19" lockText="1" noThreeD="1"/>
</file>

<file path=xl/ctrlProps/ctrlProp23.xml><?xml version="1.0" encoding="utf-8"?>
<formControlPr xmlns="http://schemas.microsoft.com/office/spreadsheetml/2009/9/main" objectType="CheckBox" fmlaLink="D19" lockText="1" noThreeD="1"/>
</file>

<file path=xl/ctrlProps/ctrlProp24.xml><?xml version="1.0" encoding="utf-8"?>
<formControlPr xmlns="http://schemas.microsoft.com/office/spreadsheetml/2009/9/main" objectType="CheckBox" fmlaLink="A20" lockText="1" noThreeD="1"/>
</file>

<file path=xl/ctrlProps/ctrlProp25.xml><?xml version="1.0" encoding="utf-8"?>
<formControlPr xmlns="http://schemas.microsoft.com/office/spreadsheetml/2009/9/main" objectType="CheckBox" fmlaLink="D20" lockText="1" noThreeD="1"/>
</file>

<file path=xl/ctrlProps/ctrlProp26.xml><?xml version="1.0" encoding="utf-8"?>
<formControlPr xmlns="http://schemas.microsoft.com/office/spreadsheetml/2009/9/main" objectType="CheckBox" fmlaLink="A21" lockText="1" noThreeD="1"/>
</file>

<file path=xl/ctrlProps/ctrlProp27.xml><?xml version="1.0" encoding="utf-8"?>
<formControlPr xmlns="http://schemas.microsoft.com/office/spreadsheetml/2009/9/main" objectType="CheckBox" fmlaLink="D21" lockText="1" noThreeD="1"/>
</file>

<file path=xl/ctrlProps/ctrlProp28.xml><?xml version="1.0" encoding="utf-8"?>
<formControlPr xmlns="http://schemas.microsoft.com/office/spreadsheetml/2009/9/main" objectType="CheckBox" fmlaLink="A22" lockText="1" noThreeD="1"/>
</file>

<file path=xl/ctrlProps/ctrlProp29.xml><?xml version="1.0" encoding="utf-8"?>
<formControlPr xmlns="http://schemas.microsoft.com/office/spreadsheetml/2009/9/main" objectType="CheckBox" fmlaLink="D22" lockText="1" noThreeD="1"/>
</file>

<file path=xl/ctrlProps/ctrlProp30.xml><?xml version="1.0" encoding="utf-8"?>
<formControlPr xmlns="http://schemas.microsoft.com/office/spreadsheetml/2009/9/main" objectType="CheckBox" fmlaLink="A23" lockText="1" noThreeD="1"/>
</file>

<file path=xl/ctrlProps/ctrlProp31.xml><?xml version="1.0" encoding="utf-8"?>
<formControlPr xmlns="http://schemas.microsoft.com/office/spreadsheetml/2009/9/main" objectType="CheckBox" fmlaLink="D23" lockText="1" noThreeD="1"/>
</file>

<file path=xl/ctrlProps/ctrlProp32.xml><?xml version="1.0" encoding="utf-8"?>
<formControlPr xmlns="http://schemas.microsoft.com/office/spreadsheetml/2009/9/main" objectType="CheckBox" fmlaLink="A24" lockText="1" noThreeD="1"/>
</file>

<file path=xl/ctrlProps/ctrlProp33.xml><?xml version="1.0" encoding="utf-8"?>
<formControlPr xmlns="http://schemas.microsoft.com/office/spreadsheetml/2009/9/main" objectType="CheckBox" fmlaLink="D24" lockText="1" noThreeD="1"/>
</file>

<file path=xl/ctrlProps/ctrlProp34.xml><?xml version="1.0" encoding="utf-8"?>
<formControlPr xmlns="http://schemas.microsoft.com/office/spreadsheetml/2009/9/main" objectType="CheckBox" fmlaLink="A25" lockText="1" noThreeD="1"/>
</file>

<file path=xl/ctrlProps/ctrlProp35.xml><?xml version="1.0" encoding="utf-8"?>
<formControlPr xmlns="http://schemas.microsoft.com/office/spreadsheetml/2009/9/main" objectType="CheckBox" fmlaLink="D25" lockText="1" noThreeD="1"/>
</file>

<file path=xl/ctrlProps/ctrlProp36.xml><?xml version="1.0" encoding="utf-8"?>
<formControlPr xmlns="http://schemas.microsoft.com/office/spreadsheetml/2009/9/main" objectType="CheckBox" fmlaLink="A26" lockText="1" noThreeD="1"/>
</file>

<file path=xl/ctrlProps/ctrlProp37.xml><?xml version="1.0" encoding="utf-8"?>
<formControlPr xmlns="http://schemas.microsoft.com/office/spreadsheetml/2009/9/main" objectType="CheckBox" fmlaLink="D26" lockText="1" noThreeD="1"/>
</file>

<file path=xl/ctrlProps/ctrlProp38.xml><?xml version="1.0" encoding="utf-8"?>
<formControlPr xmlns="http://schemas.microsoft.com/office/spreadsheetml/2009/9/main" objectType="CheckBox" fmlaLink="A27" lockText="1" noThreeD="1"/>
</file>

<file path=xl/ctrlProps/ctrlProp39.xml><?xml version="1.0" encoding="utf-8"?>
<formControlPr xmlns="http://schemas.microsoft.com/office/spreadsheetml/2009/9/main" objectType="CheckBox" fmlaLink="D27" lockText="1" noThreeD="1"/>
</file>

<file path=xl/ctrlProps/ctrlProp40.xml><?xml version="1.0" encoding="utf-8"?>
<formControlPr xmlns="http://schemas.microsoft.com/office/spreadsheetml/2009/9/main" objectType="CheckBox" fmlaLink="A28" lockText="1" noThreeD="1"/>
</file>

<file path=xl/ctrlProps/ctrlProp41.xml><?xml version="1.0" encoding="utf-8"?>
<formControlPr xmlns="http://schemas.microsoft.com/office/spreadsheetml/2009/9/main" objectType="CheckBox" fmlaLink="D28" lockText="1" noThreeD="1"/>
</file>

<file path=xl/ctrlProps/ctrlProp42.xml><?xml version="1.0" encoding="utf-8"?>
<formControlPr xmlns="http://schemas.microsoft.com/office/spreadsheetml/2009/9/main" objectType="CheckBox" fmlaLink="A29" lockText="1" noThreeD="1"/>
</file>

<file path=xl/ctrlProps/ctrlProp43.xml><?xml version="1.0" encoding="utf-8"?>
<formControlPr xmlns="http://schemas.microsoft.com/office/spreadsheetml/2009/9/main" objectType="CheckBox" fmlaLink="D29" lockText="1" noThreeD="1"/>
</file>

<file path=xl/ctrlProps/ctrlProp44.xml><?xml version="1.0" encoding="utf-8"?>
<formControlPr xmlns="http://schemas.microsoft.com/office/spreadsheetml/2009/9/main" objectType="CheckBox" fmlaLink="A30" lockText="1" noThreeD="1"/>
</file>

<file path=xl/ctrlProps/ctrlProp45.xml><?xml version="1.0" encoding="utf-8"?>
<formControlPr xmlns="http://schemas.microsoft.com/office/spreadsheetml/2009/9/main" objectType="CheckBox" fmlaLink="D30" lockText="1" noThreeD="1"/>
</file>

<file path=xl/ctrlProps/ctrlProp46.xml><?xml version="1.0" encoding="utf-8"?>
<formControlPr xmlns="http://schemas.microsoft.com/office/spreadsheetml/2009/9/main" objectType="CheckBox" fmlaLink="A31" lockText="1" noThreeD="1"/>
</file>

<file path=xl/ctrlProps/ctrlProp47.xml><?xml version="1.0" encoding="utf-8"?>
<formControlPr xmlns="http://schemas.microsoft.com/office/spreadsheetml/2009/9/main" objectType="CheckBox" fmlaLink="D31" lockText="1" noThreeD="1"/>
</file>

<file path=xl/ctrlProps/ctrlProp48.xml><?xml version="1.0" encoding="utf-8"?>
<formControlPr xmlns="http://schemas.microsoft.com/office/spreadsheetml/2009/9/main" objectType="CheckBox" fmlaLink="A32" lockText="1" noThreeD="1"/>
</file>

<file path=xl/ctrlProps/ctrlProp49.xml><?xml version="1.0" encoding="utf-8"?>
<formControlPr xmlns="http://schemas.microsoft.com/office/spreadsheetml/2009/9/main" objectType="CheckBox" fmlaLink="D32" lockText="1" noThreeD="1"/>
</file>

<file path=xl/ctrlProps/ctrlProp50.xml><?xml version="1.0" encoding="utf-8"?>
<formControlPr xmlns="http://schemas.microsoft.com/office/spreadsheetml/2009/9/main" objectType="CheckBox" fmlaLink="A33" lockText="1" noThreeD="1"/>
</file>

<file path=xl/ctrlProps/ctrlProp51.xml><?xml version="1.0" encoding="utf-8"?>
<formControlPr xmlns="http://schemas.microsoft.com/office/spreadsheetml/2009/9/main" objectType="CheckBox" fmlaLink="D33" lockText="1" noThreeD="1"/>
</file>

<file path=xl/ctrlProps/ctrlProp52.xml><?xml version="1.0" encoding="utf-8"?>
<formControlPr xmlns="http://schemas.microsoft.com/office/spreadsheetml/2009/9/main" objectType="CheckBox" fmlaLink="A34" lockText="1" noThreeD="1"/>
</file>

<file path=xl/ctrlProps/ctrlProp53.xml><?xml version="1.0" encoding="utf-8"?>
<formControlPr xmlns="http://schemas.microsoft.com/office/spreadsheetml/2009/9/main" objectType="CheckBox" fmlaLink="D34" lockText="1" noThreeD="1"/>
</file>

<file path=xl/ctrlProps/ctrlProp54.xml><?xml version="1.0" encoding="utf-8"?>
<formControlPr xmlns="http://schemas.microsoft.com/office/spreadsheetml/2009/9/main" objectType="CheckBox" fmlaLink="A35" lockText="1" noThreeD="1"/>
</file>

<file path=xl/ctrlProps/ctrlProp55.xml><?xml version="1.0" encoding="utf-8"?>
<formControlPr xmlns="http://schemas.microsoft.com/office/spreadsheetml/2009/9/main" objectType="CheckBox" fmlaLink="D35" lockText="1" noThreeD="1"/>
</file>

<file path=xl/ctrlProps/ctrlProp56.xml><?xml version="1.0" encoding="utf-8"?>
<formControlPr xmlns="http://schemas.microsoft.com/office/spreadsheetml/2009/9/main" objectType="CheckBox" fmlaLink="A36" lockText="1" noThreeD="1"/>
</file>

<file path=xl/ctrlProps/ctrlProp57.xml><?xml version="1.0" encoding="utf-8"?>
<formControlPr xmlns="http://schemas.microsoft.com/office/spreadsheetml/2009/9/main" objectType="CheckBox" fmlaLink="D36" lockText="1" noThreeD="1"/>
</file>

<file path=xl/ctrlProps/ctrlProp58.xml><?xml version="1.0" encoding="utf-8"?>
<formControlPr xmlns="http://schemas.microsoft.com/office/spreadsheetml/2009/9/main" objectType="CheckBox" fmlaLink="A37" lockText="1" noThreeD="1"/>
</file>

<file path=xl/ctrlProps/ctrlProp59.xml><?xml version="1.0" encoding="utf-8"?>
<formControlPr xmlns="http://schemas.microsoft.com/office/spreadsheetml/2009/9/main" objectType="CheckBox" fmlaLink="D37" lockText="1" noThreeD="1"/>
</file>

<file path=xl/ctrlProps/ctrlProp60.xml><?xml version="1.0" encoding="utf-8"?>
<formControlPr xmlns="http://schemas.microsoft.com/office/spreadsheetml/2009/9/main" objectType="CheckBox" fmlaLink="A38" lockText="1" noThreeD="1"/>
</file>

<file path=xl/ctrlProps/ctrlProp61.xml><?xml version="1.0" encoding="utf-8"?>
<formControlPr xmlns="http://schemas.microsoft.com/office/spreadsheetml/2009/9/main" objectType="CheckBox" fmlaLink="D38" lockText="1" noThreeD="1"/>
</file>

<file path=xl/ctrlProps/ctrlProp62.xml><?xml version="1.0" encoding="utf-8"?>
<formControlPr xmlns="http://schemas.microsoft.com/office/spreadsheetml/2009/9/main" objectType="CheckBox" fmlaLink="A39" lockText="1" noThreeD="1"/>
</file>

<file path=xl/ctrlProps/ctrlProp63.xml><?xml version="1.0" encoding="utf-8"?>
<formControlPr xmlns="http://schemas.microsoft.com/office/spreadsheetml/2009/9/main" objectType="CheckBox" fmlaLink="D39" lockText="1" noThreeD="1"/>
</file>

<file path=xl/ctrlProps/ctrlProp64.xml><?xml version="1.0" encoding="utf-8"?>
<formControlPr xmlns="http://schemas.microsoft.com/office/spreadsheetml/2009/9/main" objectType="CheckBox" fmlaLink="A40" lockText="1" noThreeD="1"/>
</file>

<file path=xl/ctrlProps/ctrlProp65.xml><?xml version="1.0" encoding="utf-8"?>
<formControlPr xmlns="http://schemas.microsoft.com/office/spreadsheetml/2009/9/main" objectType="CheckBox" fmlaLink="D40" lockText="1" noThreeD="1"/>
</file>

<file path=xl/ctrlProps/ctrlProp66.xml><?xml version="1.0" encoding="utf-8"?>
<formControlPr xmlns="http://schemas.microsoft.com/office/spreadsheetml/2009/9/main" objectType="CheckBox" fmlaLink="A41" lockText="1" noThreeD="1"/>
</file>

<file path=xl/ctrlProps/ctrlProp67.xml><?xml version="1.0" encoding="utf-8"?>
<formControlPr xmlns="http://schemas.microsoft.com/office/spreadsheetml/2009/9/main" objectType="CheckBox" fmlaLink="D41" lockText="1" noThreeD="1"/>
</file>

<file path=xl/ctrlProps/ctrlProp68.xml><?xml version="1.0" encoding="utf-8"?>
<formControlPr xmlns="http://schemas.microsoft.com/office/spreadsheetml/2009/9/main" objectType="CheckBox" fmlaLink="A42" lockText="1" noThreeD="1"/>
</file>

<file path=xl/ctrlProps/ctrlProp69.xml><?xml version="1.0" encoding="utf-8"?>
<formControlPr xmlns="http://schemas.microsoft.com/office/spreadsheetml/2009/9/main" objectType="CheckBox" fmlaLink="D42" lockText="1" noThreeD="1"/>
</file>

<file path=xl/ctrlProps/ctrlProp70.xml><?xml version="1.0" encoding="utf-8"?>
<formControlPr xmlns="http://schemas.microsoft.com/office/spreadsheetml/2009/9/main" objectType="CheckBox" fmlaLink="A43" lockText="1" noThreeD="1"/>
</file>

<file path=xl/ctrlProps/ctrlProp71.xml><?xml version="1.0" encoding="utf-8"?>
<formControlPr xmlns="http://schemas.microsoft.com/office/spreadsheetml/2009/9/main" objectType="CheckBox" fmlaLink="D43" lockText="1" noThreeD="1"/>
</file>

<file path=xl/ctrlProps/ctrlProp72.xml><?xml version="1.0" encoding="utf-8"?>
<formControlPr xmlns="http://schemas.microsoft.com/office/spreadsheetml/2009/9/main" objectType="CheckBox" fmlaLink="A44" lockText="1" noThreeD="1"/>
</file>

<file path=xl/ctrlProps/ctrlProp73.xml><?xml version="1.0" encoding="utf-8"?>
<formControlPr xmlns="http://schemas.microsoft.com/office/spreadsheetml/2009/9/main" objectType="CheckBox" fmlaLink="D44" lockText="1" noThreeD="1"/>
</file>

<file path=xl/ctrlProps/ctrlProp74.xml><?xml version="1.0" encoding="utf-8"?>
<formControlPr xmlns="http://schemas.microsoft.com/office/spreadsheetml/2009/9/main" objectType="CheckBox" fmlaLink="A7" lockText="1" noThreeD="1"/>
</file>

<file path=xl/ctrlProps/ctrlProp75.xml><?xml version="1.0" encoding="utf-8"?>
<formControlPr xmlns="http://schemas.microsoft.com/office/spreadsheetml/2009/9/main" objectType="CheckBox" fmlaLink="D7" lockText="1" noThreeD="1"/>
</file>

<file path=xl/ctrlProps/ctrlProp76.xml><?xml version="1.0" encoding="utf-8"?>
<formControlPr xmlns="http://schemas.microsoft.com/office/spreadsheetml/2009/9/main" objectType="CheckBox" fmlaLink="A15" lockText="1" noThreeD="1"/>
</file>

<file path=xl/ctrlProps/ctrlProp77.xml><?xml version="1.0" encoding="utf-8"?>
<formControlPr xmlns="http://schemas.microsoft.com/office/spreadsheetml/2009/9/main" objectType="CheckBox" fmlaLink="D15" lockText="1" noThreeD="1"/>
</file>

<file path=xl/ctrlProps/ctrlProp78.xml><?xml version="1.0" encoding="utf-8"?>
<formControlPr xmlns="http://schemas.microsoft.com/office/spreadsheetml/2009/9/main" objectType="CheckBox" fmlaLink="A45" lockText="1" noThreeD="1"/>
</file>

<file path=xl/ctrlProps/ctrlProp79.xml><?xml version="1.0" encoding="utf-8"?>
<formControlPr xmlns="http://schemas.microsoft.com/office/spreadsheetml/2009/9/main" objectType="CheckBox" fmlaLink="D45" lockText="1" noThreeD="1"/>
</file>

<file path=xl/ctrlProps/ctrlProp80.xml><?xml version="1.0" encoding="utf-8"?>
<formControlPr xmlns="http://schemas.microsoft.com/office/spreadsheetml/2009/9/main" objectType="CheckBox" fmlaLink="A46" lockText="1" noThreeD="1"/>
</file>

<file path=xl/ctrlProps/ctrlProp81.xml><?xml version="1.0" encoding="utf-8"?>
<formControlPr xmlns="http://schemas.microsoft.com/office/spreadsheetml/2009/9/main" objectType="CheckBox" fmlaLink="D46" lockText="1" noThreeD="1"/>
</file>

<file path=xl/ctrlProps/ctrlProp82.xml><?xml version="1.0" encoding="utf-8"?>
<formControlPr xmlns="http://schemas.microsoft.com/office/spreadsheetml/2009/9/main" objectType="CheckBox" fmlaLink="A47" lockText="1" noThreeD="1"/>
</file>

<file path=xl/ctrlProps/ctrlProp83.xml><?xml version="1.0" encoding="utf-8"?>
<formControlPr xmlns="http://schemas.microsoft.com/office/spreadsheetml/2009/9/main" objectType="CheckBox" fmlaLink="D47" lockText="1" noThreeD="1"/>
</file>

<file path=xl/ctrlProps/ctrlProp84.xml><?xml version="1.0" encoding="utf-8"?>
<formControlPr xmlns="http://schemas.microsoft.com/office/spreadsheetml/2009/9/main" objectType="CheckBox" fmlaLink="A48" lockText="1" noThreeD="1"/>
</file>

<file path=xl/ctrlProps/ctrlProp85.xml><?xml version="1.0" encoding="utf-8"?>
<formControlPr xmlns="http://schemas.microsoft.com/office/spreadsheetml/2009/9/main" objectType="CheckBox" fmlaLink="D48" lockText="1" noThreeD="1"/>
</file>

<file path=xl/ctrlProps/ctrlProp86.xml><?xml version="1.0" encoding="utf-8"?>
<formControlPr xmlns="http://schemas.microsoft.com/office/spreadsheetml/2009/9/main" objectType="CheckBox" fmlaLink="A50" lockText="1" noThreeD="1"/>
</file>

<file path=xl/ctrlProps/ctrlProp87.xml><?xml version="1.0" encoding="utf-8"?>
<formControlPr xmlns="http://schemas.microsoft.com/office/spreadsheetml/2009/9/main" objectType="CheckBox" fmlaLink="D50" lockText="1" noThreeD="1"/>
</file>

<file path=xl/ctrlProps/ctrlProp88.xml><?xml version="1.0" encoding="utf-8"?>
<formControlPr xmlns="http://schemas.microsoft.com/office/spreadsheetml/2009/9/main" objectType="CheckBox" fmlaLink="A51" lockText="1" noThreeD="1"/>
</file>

<file path=xl/ctrlProps/ctrlProp89.xml><?xml version="1.0" encoding="utf-8"?>
<formControlPr xmlns="http://schemas.microsoft.com/office/spreadsheetml/2009/9/main" objectType="CheckBox" fmlaLink="D51" lockText="1" noThreeD="1"/>
</file>

<file path=xl/ctrlProps/ctrlProp90.xml><?xml version="1.0" encoding="utf-8"?>
<formControlPr xmlns="http://schemas.microsoft.com/office/spreadsheetml/2009/9/main" objectType="CheckBox" fmlaLink="A564" lockText="1" noThreeD="1"/>
</file>

<file path=xl/ctrlProps/ctrlProp91.xml><?xml version="1.0" encoding="utf-8"?>
<formControlPr xmlns="http://schemas.microsoft.com/office/spreadsheetml/2009/9/main" objectType="CheckBox" fmlaLink="D52" lockText="1" noThreeD="1"/>
</file>

<file path=xl/ctrlProps/ctrlProp92.xml><?xml version="1.0" encoding="utf-8"?>
<formControlPr xmlns="http://schemas.microsoft.com/office/spreadsheetml/2009/9/main" objectType="CheckBox" fmlaLink="A53" lockText="1" noThreeD="1"/>
</file>

<file path=xl/ctrlProps/ctrlProp93.xml><?xml version="1.0" encoding="utf-8"?>
<formControlPr xmlns="http://schemas.microsoft.com/office/spreadsheetml/2009/9/main" objectType="CheckBox" fmlaLink="D53" lockText="1" noThreeD="1"/>
</file>

<file path=xl/ctrlProps/ctrlProp94.xml><?xml version="1.0" encoding="utf-8"?>
<formControlPr xmlns="http://schemas.microsoft.com/office/spreadsheetml/2009/9/main" objectType="CheckBox" fmlaLink="A54" lockText="1" noThreeD="1"/>
</file>

<file path=xl/ctrlProps/ctrlProp95.xml><?xml version="1.0" encoding="utf-8"?>
<formControlPr xmlns="http://schemas.microsoft.com/office/spreadsheetml/2009/9/main" objectType="CheckBox" fmlaLink="D54" lockText="1" noThreeD="1"/>
</file>

<file path=xl/ctrlProps/ctrlProp96.xml><?xml version="1.0" encoding="utf-8"?>
<formControlPr xmlns="http://schemas.microsoft.com/office/spreadsheetml/2009/9/main" objectType="CheckBox" fmlaLink="A49" lockText="1" noThreeD="1"/>
</file>

<file path=xl/ctrlProps/ctrlProp97.xml><?xml version="1.0" encoding="utf-8"?>
<formControlPr xmlns="http://schemas.microsoft.com/office/spreadsheetml/2009/9/main" objectType="CheckBox" fmlaLink="D49" lockText="1" noThreeD="1"/>
</file>

<file path=xl/ctrlProps/ctrlProp98.xml><?xml version="1.0" encoding="utf-8"?>
<formControlPr xmlns="http://schemas.microsoft.com/office/spreadsheetml/2009/9/main" objectType="CheckBox" fmlaLink="A55" lockText="1" noThreeD="1"/>
</file>

<file path=xl/ctrlProps/ctrlProp99.xml><?xml version="1.0" encoding="utf-8"?>
<formControlPr xmlns="http://schemas.microsoft.com/office/spreadsheetml/2009/9/main" objectType="CheckBox" fmlaLink="D55" lockText="1" noThreeD="1"/>
</file>

<file path=xl/ctrlProps/ctrlProp100.xml><?xml version="1.0" encoding="utf-8"?>
<formControlPr xmlns="http://schemas.microsoft.com/office/spreadsheetml/2009/9/main" objectType="CheckBox" fmlaLink="A56" lockText="1" noThreeD="1"/>
</file>

<file path=xl/ctrlProps/ctrlProp101.xml><?xml version="1.0" encoding="utf-8"?>
<formControlPr xmlns="http://schemas.microsoft.com/office/spreadsheetml/2009/9/main" objectType="CheckBox" fmlaLink="D56" lockText="1" noThreeD="1"/>
</file>

<file path=xl/ctrlProps/ctrlProp102.xml><?xml version="1.0" encoding="utf-8"?>
<formControlPr xmlns="http://schemas.microsoft.com/office/spreadsheetml/2009/9/main" objectType="CheckBox" fmlaLink="A57" lockText="1" noThreeD="1"/>
</file>

<file path=xl/ctrlProps/ctrlProp103.xml><?xml version="1.0" encoding="utf-8"?>
<formControlPr xmlns="http://schemas.microsoft.com/office/spreadsheetml/2009/9/main" objectType="CheckBox" fmlaLink="D57" lockText="1" noThreeD="1"/>
</file>

<file path=xl/ctrlProps/ctrlProp104.xml><?xml version="1.0" encoding="utf-8"?>
<formControlPr xmlns="http://schemas.microsoft.com/office/spreadsheetml/2009/9/main" objectType="CheckBox" fmlaLink="A58" lockText="1" noThreeD="1"/>
</file>

<file path=xl/ctrlProps/ctrlProp105.xml><?xml version="1.0" encoding="utf-8"?>
<formControlPr xmlns="http://schemas.microsoft.com/office/spreadsheetml/2009/9/main" objectType="CheckBox" fmlaLink="D58" lockText="1" noThreeD="1"/>
</file>

<file path=xl/ctrlProps/ctrlProp106.xml><?xml version="1.0" encoding="utf-8"?>
<formControlPr xmlns="http://schemas.microsoft.com/office/spreadsheetml/2009/9/main" objectType="CheckBox" fmlaLink="A59" lockText="1" noThreeD="1"/>
</file>

<file path=xl/ctrlProps/ctrlProp107.xml><?xml version="1.0" encoding="utf-8"?>
<formControlPr xmlns="http://schemas.microsoft.com/office/spreadsheetml/2009/9/main" objectType="CheckBox" fmlaLink="D59" lockText="1" noThreeD="1"/>
</file>

<file path=xl/ctrlProps/ctrlProp108.xml><?xml version="1.0" encoding="utf-8"?>
<formControlPr xmlns="http://schemas.microsoft.com/office/spreadsheetml/2009/9/main" objectType="CheckBox" fmlaLink="A60" lockText="1" noThreeD="1"/>
</file>

<file path=xl/ctrlProps/ctrlProp109.xml><?xml version="1.0" encoding="utf-8"?>
<formControlPr xmlns="http://schemas.microsoft.com/office/spreadsheetml/2009/9/main" objectType="CheckBox" fmlaLink="D60" lockText="1" noThreeD="1"/>
</file>

<file path=xl/ctrlProps/ctrlProp110.xml><?xml version="1.0" encoding="utf-8"?>
<formControlPr xmlns="http://schemas.microsoft.com/office/spreadsheetml/2009/9/main" objectType="CheckBox" fmlaLink="A61" lockText="1" noThreeD="1"/>
</file>

<file path=xl/ctrlProps/ctrlProp111.xml><?xml version="1.0" encoding="utf-8"?>
<formControlPr xmlns="http://schemas.microsoft.com/office/spreadsheetml/2009/9/main" objectType="CheckBox" fmlaLink="D61" lockText="1" noThreeD="1"/>
</file>

<file path=xl/ctrlProps/ctrlProp112.xml><?xml version="1.0" encoding="utf-8"?>
<formControlPr xmlns="http://schemas.microsoft.com/office/spreadsheetml/2009/9/main" objectType="CheckBox" fmlaLink="A62" lockText="1" noThreeD="1"/>
</file>

<file path=xl/ctrlProps/ctrlProp113.xml><?xml version="1.0" encoding="utf-8"?>
<formControlPr xmlns="http://schemas.microsoft.com/office/spreadsheetml/2009/9/main" objectType="CheckBox" fmlaLink="D62" lockText="1" noThreeD="1"/>
</file>

<file path=xl/ctrlProps/ctrlProp114.xml><?xml version="1.0" encoding="utf-8"?>
<formControlPr xmlns="http://schemas.microsoft.com/office/spreadsheetml/2009/9/main" objectType="CheckBox" fmlaLink="A63" lockText="1" noThreeD="1"/>
</file>

<file path=xl/ctrlProps/ctrlProp115.xml><?xml version="1.0" encoding="utf-8"?>
<formControlPr xmlns="http://schemas.microsoft.com/office/spreadsheetml/2009/9/main" objectType="CheckBox" fmlaLink="D63" lockText="1" noThreeD="1"/>
</file>

<file path=xl/ctrlProps/ctrlProp116.xml><?xml version="1.0" encoding="utf-8"?>
<formControlPr xmlns="http://schemas.microsoft.com/office/spreadsheetml/2009/9/main" objectType="CheckBox" fmlaLink="A64" lockText="1" noThreeD="1"/>
</file>

<file path=xl/ctrlProps/ctrlProp117.xml><?xml version="1.0" encoding="utf-8"?>
<formControlPr xmlns="http://schemas.microsoft.com/office/spreadsheetml/2009/9/main" objectType="CheckBox" fmlaLink="D64" lockText="1" noThreeD="1"/>
</file>

<file path=xl/ctrlProps/ctrlProp118.xml><?xml version="1.0" encoding="utf-8"?>
<formControlPr xmlns="http://schemas.microsoft.com/office/spreadsheetml/2009/9/main" objectType="CheckBox" fmlaLink="A66" lockText="1" noThreeD="1"/>
</file>

<file path=xl/ctrlProps/ctrlProp119.xml><?xml version="1.0" encoding="utf-8"?>
<formControlPr xmlns="http://schemas.microsoft.com/office/spreadsheetml/2009/9/main" objectType="CheckBox" fmlaLink="D66" lockText="1" noThreeD="1"/>
</file>

<file path=xl/ctrlProps/ctrlProp120.xml><?xml version="1.0" encoding="utf-8"?>
<formControlPr xmlns="http://schemas.microsoft.com/office/spreadsheetml/2009/9/main" objectType="CheckBox" fmlaLink="A67" lockText="1" noThreeD="1"/>
</file>

<file path=xl/ctrlProps/ctrlProp121.xml><?xml version="1.0" encoding="utf-8"?>
<formControlPr xmlns="http://schemas.microsoft.com/office/spreadsheetml/2009/9/main" objectType="CheckBox" fmlaLink="D67" lockText="1" noThreeD="1"/>
</file>

<file path=xl/ctrlProps/ctrlProp122.xml><?xml version="1.0" encoding="utf-8"?>
<formControlPr xmlns="http://schemas.microsoft.com/office/spreadsheetml/2009/9/main" objectType="CheckBox" fmlaLink="A68" lockText="1" noThreeD="1"/>
</file>

<file path=xl/ctrlProps/ctrlProp123.xml><?xml version="1.0" encoding="utf-8"?>
<formControlPr xmlns="http://schemas.microsoft.com/office/spreadsheetml/2009/9/main" objectType="CheckBox" fmlaLink="D68" lockText="1" noThreeD="1"/>
</file>

<file path=xl/ctrlProps/ctrlProp124.xml><?xml version="1.0" encoding="utf-8"?>
<formControlPr xmlns="http://schemas.microsoft.com/office/spreadsheetml/2009/9/main" objectType="CheckBox" fmlaLink="A69" lockText="1" noThreeD="1"/>
</file>

<file path=xl/ctrlProps/ctrlProp125.xml><?xml version="1.0" encoding="utf-8"?>
<formControlPr xmlns="http://schemas.microsoft.com/office/spreadsheetml/2009/9/main" objectType="CheckBox" fmlaLink="D69" lockText="1" noThreeD="1"/>
</file>

<file path=xl/ctrlProps/ctrlProp126.xml><?xml version="1.0" encoding="utf-8"?>
<formControlPr xmlns="http://schemas.microsoft.com/office/spreadsheetml/2009/9/main" objectType="CheckBox" fmlaLink="A70" lockText="1" noThreeD="1"/>
</file>

<file path=xl/ctrlProps/ctrlProp127.xml><?xml version="1.0" encoding="utf-8"?>
<formControlPr xmlns="http://schemas.microsoft.com/office/spreadsheetml/2009/9/main" objectType="CheckBox" fmlaLink="D70" lockText="1" noThreeD="1"/>
</file>

<file path=xl/ctrlProps/ctrlProp128.xml><?xml version="1.0" encoding="utf-8"?>
<formControlPr xmlns="http://schemas.microsoft.com/office/spreadsheetml/2009/9/main" objectType="CheckBox" fmlaLink="A65" lockText="1" noThreeD="1"/>
</file>

<file path=xl/ctrlProps/ctrlProp129.xml><?xml version="1.0" encoding="utf-8"?>
<formControlPr xmlns="http://schemas.microsoft.com/office/spreadsheetml/2009/9/main" objectType="CheckBox" fmlaLink="D65" lockText="1" noThreeD="1"/>
</file>

<file path=xl/ctrlProps/ctrlProp130.xml><?xml version="1.0" encoding="utf-8"?>
<formControlPr xmlns="http://schemas.microsoft.com/office/spreadsheetml/2009/9/main" objectType="CheckBox" fmlaLink="A71" lockText="1" noThreeD="1"/>
</file>

<file path=xl/ctrlProps/ctrlProp131.xml><?xml version="1.0" encoding="utf-8"?>
<formControlPr xmlns="http://schemas.microsoft.com/office/spreadsheetml/2009/9/main" objectType="CheckBox" fmlaLink="D71" lockText="1" noThreeD="1"/>
</file>

<file path=xl/ctrlProps/ctrlProp132.xml><?xml version="1.0" encoding="utf-8"?>
<formControlPr xmlns="http://schemas.microsoft.com/office/spreadsheetml/2009/9/main" objectType="CheckBox" fmlaLink="A72" lockText="1" noThreeD="1"/>
</file>

<file path=xl/ctrlProps/ctrlProp133.xml><?xml version="1.0" encoding="utf-8"?>
<formControlPr xmlns="http://schemas.microsoft.com/office/spreadsheetml/2009/9/main" objectType="CheckBox" fmlaLink="D72" lockText="1" noThreeD="1"/>
</file>

<file path=xl/ctrlProps/ctrlProp134.xml><?xml version="1.0" encoding="utf-8"?>
<formControlPr xmlns="http://schemas.microsoft.com/office/spreadsheetml/2009/9/main" objectType="CheckBox" fmlaLink="A73" lockText="1" noThreeD="1"/>
</file>

<file path=xl/ctrlProps/ctrlProp135.xml><?xml version="1.0" encoding="utf-8"?>
<formControlPr xmlns="http://schemas.microsoft.com/office/spreadsheetml/2009/9/main" objectType="CheckBox" fmlaLink="D73" lockText="1" noThreeD="1"/>
</file>

<file path=xl/ctrlProps/ctrlProp136.xml><?xml version="1.0" encoding="utf-8"?>
<formControlPr xmlns="http://schemas.microsoft.com/office/spreadsheetml/2009/9/main" objectType="CheckBox" fmlaLink="A74" lockText="1" noThreeD="1"/>
</file>

<file path=xl/ctrlProps/ctrlProp137.xml><?xml version="1.0" encoding="utf-8"?>
<formControlPr xmlns="http://schemas.microsoft.com/office/spreadsheetml/2009/9/main" objectType="CheckBox" fmlaLink="D74" lockText="1" noThreeD="1"/>
</file>

<file path=xl/ctrlProps/ctrlProp138.xml><?xml version="1.0" encoding="utf-8"?>
<formControlPr xmlns="http://schemas.microsoft.com/office/spreadsheetml/2009/9/main" objectType="CheckBox" fmlaLink="A75" lockText="1" noThreeD="1"/>
</file>

<file path=xl/ctrlProps/ctrlProp139.xml><?xml version="1.0" encoding="utf-8"?>
<formControlPr xmlns="http://schemas.microsoft.com/office/spreadsheetml/2009/9/main" objectType="CheckBox" fmlaLink="D75" lockText="1" noThreeD="1"/>
</file>

<file path=xl/ctrlProps/ctrlProp140.xml><?xml version="1.0" encoding="utf-8"?>
<formControlPr xmlns="http://schemas.microsoft.com/office/spreadsheetml/2009/9/main" objectType="CheckBox" fmlaLink="A76" lockText="1" noThreeD="1"/>
</file>

<file path=xl/ctrlProps/ctrlProp141.xml><?xml version="1.0" encoding="utf-8"?>
<formControlPr xmlns="http://schemas.microsoft.com/office/spreadsheetml/2009/9/main" objectType="CheckBox" fmlaLink="D76" lockText="1" noThreeD="1"/>
</file>

<file path=xl/ctrlProps/ctrlProp142.xml><?xml version="1.0" encoding="utf-8"?>
<formControlPr xmlns="http://schemas.microsoft.com/office/spreadsheetml/2009/9/main" objectType="CheckBox" fmlaLink="A77" lockText="1" noThreeD="1"/>
</file>

<file path=xl/ctrlProps/ctrlProp143.xml><?xml version="1.0" encoding="utf-8"?>
<formControlPr xmlns="http://schemas.microsoft.com/office/spreadsheetml/2009/9/main" objectType="CheckBox" fmlaLink="D77" lockText="1" noThreeD="1"/>
</file>

<file path=xl/ctrlProps/ctrlProp144.xml><?xml version="1.0" encoding="utf-8"?>
<formControlPr xmlns="http://schemas.microsoft.com/office/spreadsheetml/2009/9/main" objectType="CheckBox" fmlaLink="A78" lockText="1" noThreeD="1"/>
</file>

<file path=xl/ctrlProps/ctrlProp145.xml><?xml version="1.0" encoding="utf-8"?>
<formControlPr xmlns="http://schemas.microsoft.com/office/spreadsheetml/2009/9/main" objectType="CheckBox" fmlaLink="D78" lockText="1" noThreeD="1"/>
</file>

<file path=xl/ctrlProps/ctrlProp146.xml><?xml version="1.0" encoding="utf-8"?>
<formControlPr xmlns="http://schemas.microsoft.com/office/spreadsheetml/2009/9/main" objectType="CheckBox" fmlaLink="A79" lockText="1" noThreeD="1"/>
</file>

<file path=xl/ctrlProps/ctrlProp147.xml><?xml version="1.0" encoding="utf-8"?>
<formControlPr xmlns="http://schemas.microsoft.com/office/spreadsheetml/2009/9/main" objectType="CheckBox" fmlaLink="D79" lockText="1" noThreeD="1"/>
</file>

<file path=xl/ctrlProps/ctrlProp148.xml><?xml version="1.0" encoding="utf-8"?>
<formControlPr xmlns="http://schemas.microsoft.com/office/spreadsheetml/2009/9/main" objectType="CheckBox" fmlaLink="A80" lockText="1" noThreeD="1"/>
</file>

<file path=xl/ctrlProps/ctrlProp149.xml><?xml version="1.0" encoding="utf-8"?>
<formControlPr xmlns="http://schemas.microsoft.com/office/spreadsheetml/2009/9/main" objectType="CheckBox" fmlaLink="D80" lockText="1" noThreeD="1"/>
</file>

<file path=xl/ctrlProps/ctrlProp150.xml><?xml version="1.0" encoding="utf-8"?>
<formControlPr xmlns="http://schemas.microsoft.com/office/spreadsheetml/2009/9/main" objectType="CheckBox" fmlaLink="A81" lockText="1" noThreeD="1"/>
</file>

<file path=xl/ctrlProps/ctrlProp151.xml><?xml version="1.0" encoding="utf-8"?>
<formControlPr xmlns="http://schemas.microsoft.com/office/spreadsheetml/2009/9/main" objectType="CheckBox" fmlaLink="D81" lockText="1" noThreeD="1"/>
</file>

<file path=xl/ctrlProps/ctrlProp152.xml><?xml version="1.0" encoding="utf-8"?>
<formControlPr xmlns="http://schemas.microsoft.com/office/spreadsheetml/2009/9/main" objectType="CheckBox" fmlaLink="A82" lockText="1" noThreeD="1"/>
</file>

<file path=xl/ctrlProps/ctrlProp153.xml><?xml version="1.0" encoding="utf-8"?>
<formControlPr xmlns="http://schemas.microsoft.com/office/spreadsheetml/2009/9/main" objectType="CheckBox" fmlaLink="D82" lockText="1" noThreeD="1"/>
</file>

<file path=xl/ctrlProps/ctrlProp154.xml><?xml version="1.0" encoding="utf-8"?>
<formControlPr xmlns="http://schemas.microsoft.com/office/spreadsheetml/2009/9/main" objectType="CheckBox" fmlaLink="A83" lockText="1" noThreeD="1"/>
</file>

<file path=xl/ctrlProps/ctrlProp155.xml><?xml version="1.0" encoding="utf-8"?>
<formControlPr xmlns="http://schemas.microsoft.com/office/spreadsheetml/2009/9/main" objectType="CheckBox" fmlaLink="D83" lockText="1" noThreeD="1"/>
</file>

<file path=xl/ctrlProps/ctrlProp156.xml><?xml version="1.0" encoding="utf-8"?>
<formControlPr xmlns="http://schemas.microsoft.com/office/spreadsheetml/2009/9/main" objectType="CheckBox" fmlaLink="A84" lockText="1" noThreeD="1"/>
</file>

<file path=xl/ctrlProps/ctrlProp157.xml><?xml version="1.0" encoding="utf-8"?>
<formControlPr xmlns="http://schemas.microsoft.com/office/spreadsheetml/2009/9/main" objectType="CheckBox" fmlaLink="D84" lockText="1" noThreeD="1"/>
</file>

<file path=xl/ctrlProps/ctrlProp158.xml><?xml version="1.0" encoding="utf-8"?>
<formControlPr xmlns="http://schemas.microsoft.com/office/spreadsheetml/2009/9/main" objectType="CheckBox" fmlaLink="A85" lockText="1" noThreeD="1"/>
</file>

<file path=xl/ctrlProps/ctrlProp159.xml><?xml version="1.0" encoding="utf-8"?>
<formControlPr xmlns="http://schemas.microsoft.com/office/spreadsheetml/2009/9/main" objectType="CheckBox" fmlaLink="D85" lockText="1" noThreeD="1"/>
</file>

<file path=xl/ctrlProps/ctrlProp160.xml><?xml version="1.0" encoding="utf-8"?>
<formControlPr xmlns="http://schemas.microsoft.com/office/spreadsheetml/2009/9/main" objectType="CheckBox" fmlaLink="A86" lockText="1" noThreeD="1"/>
</file>

<file path=xl/ctrlProps/ctrlProp161.xml><?xml version="1.0" encoding="utf-8"?>
<formControlPr xmlns="http://schemas.microsoft.com/office/spreadsheetml/2009/9/main" objectType="CheckBox" fmlaLink="D86" lockText="1" noThreeD="1"/>
</file>

<file path=xl/ctrlProps/ctrlProp162.xml><?xml version="1.0" encoding="utf-8"?>
<formControlPr xmlns="http://schemas.microsoft.com/office/spreadsheetml/2009/9/main" objectType="CheckBox" fmlaLink="A87" lockText="1" noThreeD="1"/>
</file>

<file path=xl/ctrlProps/ctrlProp163.xml><?xml version="1.0" encoding="utf-8"?>
<formControlPr xmlns="http://schemas.microsoft.com/office/spreadsheetml/2009/9/main" objectType="CheckBox" fmlaLink="D87" lockText="1" noThreeD="1"/>
</file>

<file path=xl/ctrlProps/ctrlProp164.xml><?xml version="1.0" encoding="utf-8"?>
<formControlPr xmlns="http://schemas.microsoft.com/office/spreadsheetml/2009/9/main" objectType="CheckBox" fmlaLink="A88" lockText="1" noThreeD="1"/>
</file>

<file path=xl/ctrlProps/ctrlProp165.xml><?xml version="1.0" encoding="utf-8"?>
<formControlPr xmlns="http://schemas.microsoft.com/office/spreadsheetml/2009/9/main" objectType="CheckBox" fmlaLink="D88" lockText="1" noThreeD="1"/>
</file>

<file path=xl/ctrlProps/ctrlProp166.xml><?xml version="1.0" encoding="utf-8"?>
<formControlPr xmlns="http://schemas.microsoft.com/office/spreadsheetml/2009/9/main" objectType="CheckBox" fmlaLink="A91" lockText="1" noThreeD="1"/>
</file>

<file path=xl/ctrlProps/ctrlProp167.xml><?xml version="1.0" encoding="utf-8"?>
<formControlPr xmlns="http://schemas.microsoft.com/office/spreadsheetml/2009/9/main" objectType="CheckBox" fmlaLink="D91" lockText="1" noThreeD="1"/>
</file>

<file path=xl/ctrlProps/ctrlProp168.xml><?xml version="1.0" encoding="utf-8"?>
<formControlPr xmlns="http://schemas.microsoft.com/office/spreadsheetml/2009/9/main" objectType="CheckBox" fmlaLink="A92" lockText="1" noThreeD="1"/>
</file>

<file path=xl/ctrlProps/ctrlProp169.xml><?xml version="1.0" encoding="utf-8"?>
<formControlPr xmlns="http://schemas.microsoft.com/office/spreadsheetml/2009/9/main" objectType="CheckBox" fmlaLink="D92" lockText="1" noThreeD="1"/>
</file>

<file path=xl/ctrlProps/ctrlProp170.xml><?xml version="1.0" encoding="utf-8"?>
<formControlPr xmlns="http://schemas.microsoft.com/office/spreadsheetml/2009/9/main" objectType="CheckBox" fmlaLink="A93" lockText="1" noThreeD="1"/>
</file>

<file path=xl/ctrlProps/ctrlProp171.xml><?xml version="1.0" encoding="utf-8"?>
<formControlPr xmlns="http://schemas.microsoft.com/office/spreadsheetml/2009/9/main" objectType="CheckBox" fmlaLink="D93" lockText="1" noThreeD="1"/>
</file>

<file path=xl/ctrlProps/ctrlProp172.xml><?xml version="1.0" encoding="utf-8"?>
<formControlPr xmlns="http://schemas.microsoft.com/office/spreadsheetml/2009/9/main" objectType="CheckBox" fmlaLink="A94" lockText="1" noThreeD="1"/>
</file>

<file path=xl/ctrlProps/ctrlProp173.xml><?xml version="1.0" encoding="utf-8"?>
<formControlPr xmlns="http://schemas.microsoft.com/office/spreadsheetml/2009/9/main" objectType="CheckBox" fmlaLink="D94" lockText="1" noThreeD="1"/>
</file>

<file path=xl/ctrlProps/ctrlProp174.xml><?xml version="1.0" encoding="utf-8"?>
<formControlPr xmlns="http://schemas.microsoft.com/office/spreadsheetml/2009/9/main" objectType="CheckBox" fmlaLink="A95" lockText="1" noThreeD="1"/>
</file>

<file path=xl/ctrlProps/ctrlProp175.xml><?xml version="1.0" encoding="utf-8"?>
<formControlPr xmlns="http://schemas.microsoft.com/office/spreadsheetml/2009/9/main" objectType="CheckBox" fmlaLink="D95" lockText="1" noThreeD="1"/>
</file>

<file path=xl/ctrlProps/ctrlProp176.xml><?xml version="1.0" encoding="utf-8"?>
<formControlPr xmlns="http://schemas.microsoft.com/office/spreadsheetml/2009/9/main" objectType="CheckBox" fmlaLink="A90" lockText="1" noThreeD="1"/>
</file>

<file path=xl/ctrlProps/ctrlProp177.xml><?xml version="1.0" encoding="utf-8"?>
<formControlPr xmlns="http://schemas.microsoft.com/office/spreadsheetml/2009/9/main" objectType="CheckBox" fmlaLink="D90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38100</xdr:colOff>
          <xdr:row>29</xdr:row>
          <xdr:rowOff>285750</xdr:rowOff>
        </xdr:from>
        <xdr:to>
          <xdr:col>23</xdr:col>
          <xdr:colOff>76200</xdr:colOff>
          <xdr:row>31</xdr:row>
          <xdr:rowOff>25400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8D313ECF-D7F1-7AA7-DDCB-C45287DB7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6</xdr:row>
          <xdr:rowOff>136049</xdr:rowOff>
        </xdr:from>
        <xdr:to>
          <xdr:col>5</xdr:col>
          <xdr:colOff>257175</xdr:colOff>
          <xdr:row>8</xdr:row>
          <xdr:rowOff>40800</xdr:rowOff>
        </xdr:to>
        <xdr:grpSp>
          <xdr:nvGrpSpPr>
            <xdr:cNvPr id="2" name="Group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pSpPr/>
          </xdr:nvGrpSpPr>
          <xdr:grpSpPr>
            <a:xfrm>
              <a:off x="257175" y="1250474"/>
              <a:ext cx="806450" cy="247651"/>
              <a:chOff x="256443" y="928317"/>
              <a:chExt cx="810847" cy="227135"/>
            </a:xfrm>
          </xdr:grpSpPr>
          <xdr:sp macro="" textlink="">
            <xdr:nvSpPr>
              <xdr:cNvPr id="1078" name="Check Box 54" hidden="1">
                <a:extLst>
                  <a:ext uri="{63B3BB69-23CF-44E3-9099-C40C66FF867C}">
                    <a14:compatExt spid="_x0000_s1078"/>
                  </a:ext>
                  <a:ext uri="{FF2B5EF4-FFF2-40B4-BE49-F238E27FC236}">
                    <a16:creationId xmlns:a16="http://schemas.microsoft.com/office/drawing/2014/main" id="{00000000-0008-0000-0100-000036040000}"/>
                  </a:ext>
                </a:extLst>
              </xdr:cNvPr>
              <xdr:cNvSpPr/>
            </xdr:nvSpPr>
            <xdr:spPr bwMode="auto">
              <a:xfrm>
                <a:off x="256443" y="928317"/>
                <a:ext cx="810847" cy="22713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6" name="Check Box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100-00003E040000}"/>
                  </a:ext>
                </a:extLst>
              </xdr:cNvPr>
              <xdr:cNvSpPr/>
            </xdr:nvSpPr>
            <xdr:spPr bwMode="auto">
              <a:xfrm>
                <a:off x="477117" y="943921"/>
                <a:ext cx="440367" cy="20808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133350</xdr:rowOff>
        </xdr:from>
        <xdr:to>
          <xdr:col>5</xdr:col>
          <xdr:colOff>257175</xdr:colOff>
          <xdr:row>9</xdr:row>
          <xdr:rowOff>8834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1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133350</xdr:rowOff>
        </xdr:from>
        <xdr:to>
          <xdr:col>5</xdr:col>
          <xdr:colOff>95250</xdr:colOff>
          <xdr:row>9</xdr:row>
          <xdr:rowOff>8834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1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133350</xdr:rowOff>
        </xdr:from>
        <xdr:to>
          <xdr:col>5</xdr:col>
          <xdr:colOff>257175</xdr:colOff>
          <xdr:row>10</xdr:row>
          <xdr:rowOff>8834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1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133350</xdr:rowOff>
        </xdr:from>
        <xdr:to>
          <xdr:col>5</xdr:col>
          <xdr:colOff>85725</xdr:colOff>
          <xdr:row>10</xdr:row>
          <xdr:rowOff>8834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1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133350</xdr:rowOff>
        </xdr:from>
        <xdr:to>
          <xdr:col>5</xdr:col>
          <xdr:colOff>257175</xdr:colOff>
          <xdr:row>11</xdr:row>
          <xdr:rowOff>8835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1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</xdr:row>
          <xdr:rowOff>133350</xdr:rowOff>
        </xdr:from>
        <xdr:to>
          <xdr:col>5</xdr:col>
          <xdr:colOff>85725</xdr:colOff>
          <xdr:row>11</xdr:row>
          <xdr:rowOff>8835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1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133350</xdr:rowOff>
        </xdr:from>
        <xdr:to>
          <xdr:col>5</xdr:col>
          <xdr:colOff>257175</xdr:colOff>
          <xdr:row>12</xdr:row>
          <xdr:rowOff>8835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1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133350</xdr:rowOff>
        </xdr:from>
        <xdr:to>
          <xdr:col>5</xdr:col>
          <xdr:colOff>95250</xdr:colOff>
          <xdr:row>12</xdr:row>
          <xdr:rowOff>8835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1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133350</xdr:rowOff>
        </xdr:from>
        <xdr:to>
          <xdr:col>5</xdr:col>
          <xdr:colOff>257175</xdr:colOff>
          <xdr:row>13</xdr:row>
          <xdr:rowOff>8835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1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11</xdr:row>
          <xdr:rowOff>133350</xdr:rowOff>
        </xdr:from>
        <xdr:to>
          <xdr:col>5</xdr:col>
          <xdr:colOff>85725</xdr:colOff>
          <xdr:row>13</xdr:row>
          <xdr:rowOff>8835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1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139700</xdr:rowOff>
        </xdr:from>
        <xdr:to>
          <xdr:col>5</xdr:col>
          <xdr:colOff>257175</xdr:colOff>
          <xdr:row>14</xdr:row>
          <xdr:rowOff>31060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1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146050</xdr:rowOff>
        </xdr:from>
        <xdr:to>
          <xdr:col>5</xdr:col>
          <xdr:colOff>104775</xdr:colOff>
          <xdr:row>14</xdr:row>
          <xdr:rowOff>31060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1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139700</xdr:rowOff>
        </xdr:from>
        <xdr:to>
          <xdr:col>5</xdr:col>
          <xdr:colOff>257175</xdr:colOff>
          <xdr:row>16</xdr:row>
          <xdr:rowOff>8835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1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139700</xdr:rowOff>
        </xdr:from>
        <xdr:to>
          <xdr:col>5</xdr:col>
          <xdr:colOff>95250</xdr:colOff>
          <xdr:row>16</xdr:row>
          <xdr:rowOff>8835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1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133350</xdr:rowOff>
        </xdr:from>
        <xdr:to>
          <xdr:col>5</xdr:col>
          <xdr:colOff>257175</xdr:colOff>
          <xdr:row>17</xdr:row>
          <xdr:rowOff>8834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1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15</xdr:row>
          <xdr:rowOff>133350</xdr:rowOff>
        </xdr:from>
        <xdr:to>
          <xdr:col>5</xdr:col>
          <xdr:colOff>85725</xdr:colOff>
          <xdr:row>17</xdr:row>
          <xdr:rowOff>8834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1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133350</xdr:rowOff>
        </xdr:from>
        <xdr:to>
          <xdr:col>5</xdr:col>
          <xdr:colOff>257175</xdr:colOff>
          <xdr:row>18</xdr:row>
          <xdr:rowOff>8834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1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16</xdr:row>
          <xdr:rowOff>133350</xdr:rowOff>
        </xdr:from>
        <xdr:to>
          <xdr:col>5</xdr:col>
          <xdr:colOff>85725</xdr:colOff>
          <xdr:row>18</xdr:row>
          <xdr:rowOff>8834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1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133350</xdr:rowOff>
        </xdr:from>
        <xdr:to>
          <xdr:col>5</xdr:col>
          <xdr:colOff>257175</xdr:colOff>
          <xdr:row>19</xdr:row>
          <xdr:rowOff>8835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1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17</xdr:row>
          <xdr:rowOff>133350</xdr:rowOff>
        </xdr:from>
        <xdr:to>
          <xdr:col>5</xdr:col>
          <xdr:colOff>95250</xdr:colOff>
          <xdr:row>19</xdr:row>
          <xdr:rowOff>8835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1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18</xdr:row>
          <xdr:rowOff>133350</xdr:rowOff>
        </xdr:from>
        <xdr:to>
          <xdr:col>5</xdr:col>
          <xdr:colOff>257175</xdr:colOff>
          <xdr:row>20</xdr:row>
          <xdr:rowOff>8836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1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</xdr:row>
          <xdr:rowOff>133350</xdr:rowOff>
        </xdr:from>
        <xdr:to>
          <xdr:col>5</xdr:col>
          <xdr:colOff>85725</xdr:colOff>
          <xdr:row>20</xdr:row>
          <xdr:rowOff>8836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1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19</xdr:row>
          <xdr:rowOff>139700</xdr:rowOff>
        </xdr:from>
        <xdr:to>
          <xdr:col>5</xdr:col>
          <xdr:colOff>257175</xdr:colOff>
          <xdr:row>21</xdr:row>
          <xdr:rowOff>31060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1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146050</xdr:rowOff>
        </xdr:from>
        <xdr:to>
          <xdr:col>5</xdr:col>
          <xdr:colOff>104775</xdr:colOff>
          <xdr:row>21</xdr:row>
          <xdr:rowOff>31060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1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139700</xdr:rowOff>
        </xdr:from>
        <xdr:to>
          <xdr:col>5</xdr:col>
          <xdr:colOff>257175</xdr:colOff>
          <xdr:row>22</xdr:row>
          <xdr:rowOff>8834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1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20</xdr:row>
          <xdr:rowOff>139700</xdr:rowOff>
        </xdr:from>
        <xdr:to>
          <xdr:col>5</xdr:col>
          <xdr:colOff>95250</xdr:colOff>
          <xdr:row>22</xdr:row>
          <xdr:rowOff>8834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1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21</xdr:row>
          <xdr:rowOff>133350</xdr:rowOff>
        </xdr:from>
        <xdr:to>
          <xdr:col>5</xdr:col>
          <xdr:colOff>257175</xdr:colOff>
          <xdr:row>23</xdr:row>
          <xdr:rowOff>8834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1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133350</xdr:rowOff>
        </xdr:from>
        <xdr:to>
          <xdr:col>5</xdr:col>
          <xdr:colOff>85725</xdr:colOff>
          <xdr:row>23</xdr:row>
          <xdr:rowOff>8834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1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</xdr:row>
          <xdr:rowOff>133350</xdr:rowOff>
        </xdr:from>
        <xdr:to>
          <xdr:col>5</xdr:col>
          <xdr:colOff>257175</xdr:colOff>
          <xdr:row>24</xdr:row>
          <xdr:rowOff>8836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1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22</xdr:row>
          <xdr:rowOff>133350</xdr:rowOff>
        </xdr:from>
        <xdr:to>
          <xdr:col>5</xdr:col>
          <xdr:colOff>85725</xdr:colOff>
          <xdr:row>24</xdr:row>
          <xdr:rowOff>8836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1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</xdr:row>
          <xdr:rowOff>133350</xdr:rowOff>
        </xdr:from>
        <xdr:to>
          <xdr:col>5</xdr:col>
          <xdr:colOff>257175</xdr:colOff>
          <xdr:row>25</xdr:row>
          <xdr:rowOff>8836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1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23</xdr:row>
          <xdr:rowOff>133350</xdr:rowOff>
        </xdr:from>
        <xdr:to>
          <xdr:col>5</xdr:col>
          <xdr:colOff>95250</xdr:colOff>
          <xdr:row>25</xdr:row>
          <xdr:rowOff>8836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1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24</xdr:row>
          <xdr:rowOff>133350</xdr:rowOff>
        </xdr:from>
        <xdr:to>
          <xdr:col>5</xdr:col>
          <xdr:colOff>257175</xdr:colOff>
          <xdr:row>26</xdr:row>
          <xdr:rowOff>8834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1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24</xdr:row>
          <xdr:rowOff>133350</xdr:rowOff>
        </xdr:from>
        <xdr:to>
          <xdr:col>5</xdr:col>
          <xdr:colOff>85725</xdr:colOff>
          <xdr:row>26</xdr:row>
          <xdr:rowOff>8834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1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139700</xdr:rowOff>
        </xdr:from>
        <xdr:to>
          <xdr:col>5</xdr:col>
          <xdr:colOff>257175</xdr:colOff>
          <xdr:row>27</xdr:row>
          <xdr:rowOff>31059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1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25</xdr:row>
          <xdr:rowOff>146050</xdr:rowOff>
        </xdr:from>
        <xdr:to>
          <xdr:col>5</xdr:col>
          <xdr:colOff>104775</xdr:colOff>
          <xdr:row>27</xdr:row>
          <xdr:rowOff>31059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1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</xdr:row>
          <xdr:rowOff>139700</xdr:rowOff>
        </xdr:from>
        <xdr:to>
          <xdr:col>5</xdr:col>
          <xdr:colOff>257175</xdr:colOff>
          <xdr:row>28</xdr:row>
          <xdr:rowOff>8834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1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26</xdr:row>
          <xdr:rowOff>139700</xdr:rowOff>
        </xdr:from>
        <xdr:to>
          <xdr:col>5</xdr:col>
          <xdr:colOff>95250</xdr:colOff>
          <xdr:row>28</xdr:row>
          <xdr:rowOff>8834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1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133350</xdr:rowOff>
        </xdr:from>
        <xdr:to>
          <xdr:col>5</xdr:col>
          <xdr:colOff>257175</xdr:colOff>
          <xdr:row>29</xdr:row>
          <xdr:rowOff>8835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1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</xdr:row>
          <xdr:rowOff>133350</xdr:rowOff>
        </xdr:from>
        <xdr:to>
          <xdr:col>5</xdr:col>
          <xdr:colOff>85725</xdr:colOff>
          <xdr:row>29</xdr:row>
          <xdr:rowOff>8835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1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28</xdr:row>
          <xdr:rowOff>133350</xdr:rowOff>
        </xdr:from>
        <xdr:to>
          <xdr:col>5</xdr:col>
          <xdr:colOff>257175</xdr:colOff>
          <xdr:row>30</xdr:row>
          <xdr:rowOff>8836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1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133350</xdr:rowOff>
        </xdr:from>
        <xdr:to>
          <xdr:col>5</xdr:col>
          <xdr:colOff>85725</xdr:colOff>
          <xdr:row>30</xdr:row>
          <xdr:rowOff>8836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1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</xdr:row>
          <xdr:rowOff>133350</xdr:rowOff>
        </xdr:from>
        <xdr:to>
          <xdr:col>5</xdr:col>
          <xdr:colOff>257175</xdr:colOff>
          <xdr:row>31</xdr:row>
          <xdr:rowOff>8835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1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29</xdr:row>
          <xdr:rowOff>133350</xdr:rowOff>
        </xdr:from>
        <xdr:to>
          <xdr:col>5</xdr:col>
          <xdr:colOff>95250</xdr:colOff>
          <xdr:row>31</xdr:row>
          <xdr:rowOff>8835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1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</xdr:row>
          <xdr:rowOff>133350</xdr:rowOff>
        </xdr:from>
        <xdr:to>
          <xdr:col>5</xdr:col>
          <xdr:colOff>257175</xdr:colOff>
          <xdr:row>32</xdr:row>
          <xdr:rowOff>8834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1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30</xdr:row>
          <xdr:rowOff>133350</xdr:rowOff>
        </xdr:from>
        <xdr:to>
          <xdr:col>5</xdr:col>
          <xdr:colOff>85725</xdr:colOff>
          <xdr:row>32</xdr:row>
          <xdr:rowOff>8834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1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</xdr:row>
          <xdr:rowOff>139700</xdr:rowOff>
        </xdr:from>
        <xdr:to>
          <xdr:col>5</xdr:col>
          <xdr:colOff>257175</xdr:colOff>
          <xdr:row>33</xdr:row>
          <xdr:rowOff>31059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1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31</xdr:row>
          <xdr:rowOff>146050</xdr:rowOff>
        </xdr:from>
        <xdr:to>
          <xdr:col>5</xdr:col>
          <xdr:colOff>104775</xdr:colOff>
          <xdr:row>33</xdr:row>
          <xdr:rowOff>31059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1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</xdr:row>
          <xdr:rowOff>139700</xdr:rowOff>
        </xdr:from>
        <xdr:to>
          <xdr:col>5</xdr:col>
          <xdr:colOff>257175</xdr:colOff>
          <xdr:row>34</xdr:row>
          <xdr:rowOff>31060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1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139700</xdr:rowOff>
        </xdr:from>
        <xdr:to>
          <xdr:col>5</xdr:col>
          <xdr:colOff>95250</xdr:colOff>
          <xdr:row>34</xdr:row>
          <xdr:rowOff>31060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1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33</xdr:row>
          <xdr:rowOff>133350</xdr:rowOff>
        </xdr:from>
        <xdr:to>
          <xdr:col>5</xdr:col>
          <xdr:colOff>257175</xdr:colOff>
          <xdr:row>35</xdr:row>
          <xdr:rowOff>8835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1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133350</xdr:rowOff>
        </xdr:from>
        <xdr:to>
          <xdr:col>5</xdr:col>
          <xdr:colOff>85725</xdr:colOff>
          <xdr:row>35</xdr:row>
          <xdr:rowOff>8835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1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34</xdr:row>
          <xdr:rowOff>133350</xdr:rowOff>
        </xdr:from>
        <xdr:to>
          <xdr:col>5</xdr:col>
          <xdr:colOff>257175</xdr:colOff>
          <xdr:row>36</xdr:row>
          <xdr:rowOff>12010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1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34</xdr:row>
          <xdr:rowOff>133350</xdr:rowOff>
        </xdr:from>
        <xdr:to>
          <xdr:col>5</xdr:col>
          <xdr:colOff>85725</xdr:colOff>
          <xdr:row>36</xdr:row>
          <xdr:rowOff>12010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1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</xdr:row>
          <xdr:rowOff>133350</xdr:rowOff>
        </xdr:from>
        <xdr:to>
          <xdr:col>5</xdr:col>
          <xdr:colOff>257175</xdr:colOff>
          <xdr:row>37</xdr:row>
          <xdr:rowOff>12010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1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133350</xdr:rowOff>
        </xdr:from>
        <xdr:to>
          <xdr:col>5</xdr:col>
          <xdr:colOff>95250</xdr:colOff>
          <xdr:row>37</xdr:row>
          <xdr:rowOff>12010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1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36</xdr:row>
          <xdr:rowOff>133350</xdr:rowOff>
        </xdr:from>
        <xdr:to>
          <xdr:col>5</xdr:col>
          <xdr:colOff>257175</xdr:colOff>
          <xdr:row>38</xdr:row>
          <xdr:rowOff>12010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1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133350</xdr:rowOff>
        </xdr:from>
        <xdr:to>
          <xdr:col>5</xdr:col>
          <xdr:colOff>85725</xdr:colOff>
          <xdr:row>38</xdr:row>
          <xdr:rowOff>12010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1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37</xdr:row>
          <xdr:rowOff>133350</xdr:rowOff>
        </xdr:from>
        <xdr:to>
          <xdr:col>5</xdr:col>
          <xdr:colOff>257175</xdr:colOff>
          <xdr:row>39</xdr:row>
          <xdr:rowOff>12010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1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37</xdr:row>
          <xdr:rowOff>133350</xdr:rowOff>
        </xdr:from>
        <xdr:to>
          <xdr:col>5</xdr:col>
          <xdr:colOff>104775</xdr:colOff>
          <xdr:row>39</xdr:row>
          <xdr:rowOff>12010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1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38</xdr:row>
          <xdr:rowOff>133350</xdr:rowOff>
        </xdr:from>
        <xdr:to>
          <xdr:col>5</xdr:col>
          <xdr:colOff>257175</xdr:colOff>
          <xdr:row>40</xdr:row>
          <xdr:rowOff>8834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1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38</xdr:row>
          <xdr:rowOff>133350</xdr:rowOff>
        </xdr:from>
        <xdr:to>
          <xdr:col>5</xdr:col>
          <xdr:colOff>95250</xdr:colOff>
          <xdr:row>40</xdr:row>
          <xdr:rowOff>8834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1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39</xdr:row>
          <xdr:rowOff>133350</xdr:rowOff>
        </xdr:from>
        <xdr:to>
          <xdr:col>5</xdr:col>
          <xdr:colOff>257175</xdr:colOff>
          <xdr:row>41</xdr:row>
          <xdr:rowOff>8834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1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39</xdr:row>
          <xdr:rowOff>133350</xdr:rowOff>
        </xdr:from>
        <xdr:to>
          <xdr:col>5</xdr:col>
          <xdr:colOff>85725</xdr:colOff>
          <xdr:row>41</xdr:row>
          <xdr:rowOff>8834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1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40</xdr:row>
          <xdr:rowOff>133350</xdr:rowOff>
        </xdr:from>
        <xdr:to>
          <xdr:col>5</xdr:col>
          <xdr:colOff>257175</xdr:colOff>
          <xdr:row>42</xdr:row>
          <xdr:rowOff>8835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1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40</xdr:row>
          <xdr:rowOff>133350</xdr:rowOff>
        </xdr:from>
        <xdr:to>
          <xdr:col>5</xdr:col>
          <xdr:colOff>85725</xdr:colOff>
          <xdr:row>42</xdr:row>
          <xdr:rowOff>8835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1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</xdr:row>
          <xdr:rowOff>133350</xdr:rowOff>
        </xdr:from>
        <xdr:to>
          <xdr:col>5</xdr:col>
          <xdr:colOff>257175</xdr:colOff>
          <xdr:row>43</xdr:row>
          <xdr:rowOff>8836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1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41</xdr:row>
          <xdr:rowOff>133350</xdr:rowOff>
        </xdr:from>
        <xdr:to>
          <xdr:col>5</xdr:col>
          <xdr:colOff>95250</xdr:colOff>
          <xdr:row>43</xdr:row>
          <xdr:rowOff>8836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1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42</xdr:row>
          <xdr:rowOff>133350</xdr:rowOff>
        </xdr:from>
        <xdr:to>
          <xdr:col>5</xdr:col>
          <xdr:colOff>257175</xdr:colOff>
          <xdr:row>44</xdr:row>
          <xdr:rowOff>8835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1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42</xdr:row>
          <xdr:rowOff>133350</xdr:rowOff>
        </xdr:from>
        <xdr:to>
          <xdr:col>5</xdr:col>
          <xdr:colOff>85725</xdr:colOff>
          <xdr:row>43</xdr:row>
          <xdr:rowOff>173245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1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146050</xdr:rowOff>
        </xdr:from>
        <xdr:to>
          <xdr:col>5</xdr:col>
          <xdr:colOff>247650</xdr:colOff>
          <xdr:row>7</xdr:row>
          <xdr:rowOff>36168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1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</xdr:row>
          <xdr:rowOff>152400</xdr:rowOff>
        </xdr:from>
        <xdr:to>
          <xdr:col>5</xdr:col>
          <xdr:colOff>95250</xdr:colOff>
          <xdr:row>7</xdr:row>
          <xdr:rowOff>26643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1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133350</xdr:rowOff>
        </xdr:from>
        <xdr:to>
          <xdr:col>5</xdr:col>
          <xdr:colOff>257175</xdr:colOff>
          <xdr:row>15</xdr:row>
          <xdr:rowOff>8835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1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</xdr:row>
          <xdr:rowOff>133350</xdr:rowOff>
        </xdr:from>
        <xdr:to>
          <xdr:col>5</xdr:col>
          <xdr:colOff>85725</xdr:colOff>
          <xdr:row>15</xdr:row>
          <xdr:rowOff>8835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1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43</xdr:row>
          <xdr:rowOff>139700</xdr:rowOff>
        </xdr:from>
        <xdr:to>
          <xdr:col>5</xdr:col>
          <xdr:colOff>257175</xdr:colOff>
          <xdr:row>45</xdr:row>
          <xdr:rowOff>8834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1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43</xdr:row>
          <xdr:rowOff>139700</xdr:rowOff>
        </xdr:from>
        <xdr:to>
          <xdr:col>5</xdr:col>
          <xdr:colOff>95250</xdr:colOff>
          <xdr:row>45</xdr:row>
          <xdr:rowOff>8834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1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44</xdr:row>
          <xdr:rowOff>133350</xdr:rowOff>
        </xdr:from>
        <xdr:to>
          <xdr:col>5</xdr:col>
          <xdr:colOff>257175</xdr:colOff>
          <xdr:row>45</xdr:row>
          <xdr:rowOff>163719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1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44</xdr:row>
          <xdr:rowOff>133350</xdr:rowOff>
        </xdr:from>
        <xdr:to>
          <xdr:col>5</xdr:col>
          <xdr:colOff>85725</xdr:colOff>
          <xdr:row>45</xdr:row>
          <xdr:rowOff>163719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1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</xdr:row>
          <xdr:rowOff>133350</xdr:rowOff>
        </xdr:from>
        <xdr:to>
          <xdr:col>5</xdr:col>
          <xdr:colOff>257175</xdr:colOff>
          <xdr:row>46</xdr:row>
          <xdr:rowOff>163720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1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45</xdr:row>
          <xdr:rowOff>133350</xdr:rowOff>
        </xdr:from>
        <xdr:to>
          <xdr:col>5</xdr:col>
          <xdr:colOff>85725</xdr:colOff>
          <xdr:row>46</xdr:row>
          <xdr:rowOff>163720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1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46</xdr:row>
          <xdr:rowOff>133350</xdr:rowOff>
        </xdr:from>
        <xdr:to>
          <xdr:col>5</xdr:col>
          <xdr:colOff>257175</xdr:colOff>
          <xdr:row>47</xdr:row>
          <xdr:rowOff>163721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1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46</xdr:row>
          <xdr:rowOff>133350</xdr:rowOff>
        </xdr:from>
        <xdr:to>
          <xdr:col>5</xdr:col>
          <xdr:colOff>95250</xdr:colOff>
          <xdr:row>47</xdr:row>
          <xdr:rowOff>163721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1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48</xdr:row>
          <xdr:rowOff>139700</xdr:rowOff>
        </xdr:from>
        <xdr:to>
          <xdr:col>5</xdr:col>
          <xdr:colOff>257175</xdr:colOff>
          <xdr:row>50</xdr:row>
          <xdr:rowOff>8834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1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48</xdr:row>
          <xdr:rowOff>139700</xdr:rowOff>
        </xdr:from>
        <xdr:to>
          <xdr:col>5</xdr:col>
          <xdr:colOff>95250</xdr:colOff>
          <xdr:row>50</xdr:row>
          <xdr:rowOff>8834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1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49</xdr:row>
          <xdr:rowOff>133350</xdr:rowOff>
        </xdr:from>
        <xdr:to>
          <xdr:col>5</xdr:col>
          <xdr:colOff>257175</xdr:colOff>
          <xdr:row>51</xdr:row>
          <xdr:rowOff>8834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1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49</xdr:row>
          <xdr:rowOff>133350</xdr:rowOff>
        </xdr:from>
        <xdr:to>
          <xdr:col>5</xdr:col>
          <xdr:colOff>85725</xdr:colOff>
          <xdr:row>51</xdr:row>
          <xdr:rowOff>8834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1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50</xdr:row>
          <xdr:rowOff>133350</xdr:rowOff>
        </xdr:from>
        <xdr:to>
          <xdr:col>5</xdr:col>
          <xdr:colOff>257175</xdr:colOff>
          <xdr:row>52</xdr:row>
          <xdr:rowOff>8835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1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50</xdr:row>
          <xdr:rowOff>133350</xdr:rowOff>
        </xdr:from>
        <xdr:to>
          <xdr:col>5</xdr:col>
          <xdr:colOff>85725</xdr:colOff>
          <xdr:row>52</xdr:row>
          <xdr:rowOff>8835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1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51</xdr:row>
          <xdr:rowOff>133350</xdr:rowOff>
        </xdr:from>
        <xdr:to>
          <xdr:col>5</xdr:col>
          <xdr:colOff>257175</xdr:colOff>
          <xdr:row>53</xdr:row>
          <xdr:rowOff>8836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1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51</xdr:row>
          <xdr:rowOff>133350</xdr:rowOff>
        </xdr:from>
        <xdr:to>
          <xdr:col>5</xdr:col>
          <xdr:colOff>95250</xdr:colOff>
          <xdr:row>53</xdr:row>
          <xdr:rowOff>8836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1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52</xdr:row>
          <xdr:rowOff>133350</xdr:rowOff>
        </xdr:from>
        <xdr:to>
          <xdr:col>5</xdr:col>
          <xdr:colOff>257175</xdr:colOff>
          <xdr:row>54</xdr:row>
          <xdr:rowOff>8835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1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52</xdr:row>
          <xdr:rowOff>133350</xdr:rowOff>
        </xdr:from>
        <xdr:to>
          <xdr:col>5</xdr:col>
          <xdr:colOff>85725</xdr:colOff>
          <xdr:row>54</xdr:row>
          <xdr:rowOff>8835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1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47</xdr:row>
          <xdr:rowOff>133350</xdr:rowOff>
        </xdr:from>
        <xdr:to>
          <xdr:col>5</xdr:col>
          <xdr:colOff>257175</xdr:colOff>
          <xdr:row>49</xdr:row>
          <xdr:rowOff>8834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1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47</xdr:row>
          <xdr:rowOff>133350</xdr:rowOff>
        </xdr:from>
        <xdr:to>
          <xdr:col>5</xdr:col>
          <xdr:colOff>85725</xdr:colOff>
          <xdr:row>49</xdr:row>
          <xdr:rowOff>8834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1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53</xdr:row>
          <xdr:rowOff>133350</xdr:rowOff>
        </xdr:from>
        <xdr:ext cx="803827" cy="226529"/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EAA6078-6CF1-4458-8921-E2A8067A1A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53</xdr:row>
          <xdr:rowOff>133350</xdr:rowOff>
        </xdr:from>
        <xdr:ext cx="417029" cy="217004"/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523C49A3-CE6E-4CE6-91D6-E7F0D5CF84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54</xdr:row>
          <xdr:rowOff>139700</xdr:rowOff>
        </xdr:from>
        <xdr:ext cx="803827" cy="217004"/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C1217463-E414-4FC4-8A69-3AA3E8A785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54</xdr:row>
          <xdr:rowOff>139700</xdr:rowOff>
        </xdr:from>
        <xdr:ext cx="426554" cy="217004"/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BCE1D9D3-F71E-40CD-918E-291279F875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55</xdr:row>
          <xdr:rowOff>133350</xdr:rowOff>
        </xdr:from>
        <xdr:ext cx="803827" cy="207479"/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7FD4EF7-A9B5-4CEE-B41B-1E702562CD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55</xdr:row>
          <xdr:rowOff>133350</xdr:rowOff>
        </xdr:from>
        <xdr:ext cx="417029" cy="207479"/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89C8D686-CF0A-4A11-A03B-F36BEE4EC0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56</xdr:row>
          <xdr:rowOff>133350</xdr:rowOff>
        </xdr:from>
        <xdr:ext cx="803827" cy="207480"/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817BA5A4-6399-438A-92A8-C2FD9825E2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56</xdr:row>
          <xdr:rowOff>133350</xdr:rowOff>
        </xdr:from>
        <xdr:ext cx="417029" cy="207480"/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E4D9D209-B18D-4E24-BDB1-593C9C3BEB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57</xdr:row>
          <xdr:rowOff>133350</xdr:rowOff>
        </xdr:from>
        <xdr:ext cx="803827" cy="207480"/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C517E57B-CF63-478F-876B-150B8732EF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57</xdr:row>
          <xdr:rowOff>133350</xdr:rowOff>
        </xdr:from>
        <xdr:ext cx="426554" cy="207480"/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95E57AD1-11B1-43C7-8E98-E69F132902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58</xdr:row>
          <xdr:rowOff>133350</xdr:rowOff>
        </xdr:from>
        <xdr:ext cx="803827" cy="226529"/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8608A4C5-55F0-44E8-B314-A357007EC9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58</xdr:row>
          <xdr:rowOff>133350</xdr:rowOff>
        </xdr:from>
        <xdr:ext cx="417029" cy="217004"/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99BE9135-6DCB-497F-A6DA-38D2831CC2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59</xdr:row>
          <xdr:rowOff>139700</xdr:rowOff>
        </xdr:from>
        <xdr:ext cx="803827" cy="217004"/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F797F8A1-4862-4B72-A901-7DD7E4DDEF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59</xdr:row>
          <xdr:rowOff>139700</xdr:rowOff>
        </xdr:from>
        <xdr:ext cx="426554" cy="217004"/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232F9420-EC29-498B-8C15-8B97000DAB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60</xdr:row>
          <xdr:rowOff>133350</xdr:rowOff>
        </xdr:from>
        <xdr:ext cx="803827" cy="207479"/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A71716EB-68F7-4F4B-944B-9EE21D7E8C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60</xdr:row>
          <xdr:rowOff>133350</xdr:rowOff>
        </xdr:from>
        <xdr:ext cx="417029" cy="207479"/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9DD30B1D-4DD7-46F8-9985-D1AA68AE4A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61</xdr:row>
          <xdr:rowOff>133350</xdr:rowOff>
        </xdr:from>
        <xdr:ext cx="803827" cy="207480"/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F2D16130-B334-4DBF-A31A-4EB3755124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61</xdr:row>
          <xdr:rowOff>133350</xdr:rowOff>
        </xdr:from>
        <xdr:ext cx="417029" cy="207480"/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3EC6EC7B-C2D1-42E8-A7BB-7D604CEABF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62</xdr:row>
          <xdr:rowOff>133350</xdr:rowOff>
        </xdr:from>
        <xdr:ext cx="803827" cy="207480"/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48C45ECB-7733-43DC-9D76-3CA9A074B0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62</xdr:row>
          <xdr:rowOff>133350</xdr:rowOff>
        </xdr:from>
        <xdr:ext cx="426554" cy="207480"/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7970B51-E977-416F-B17B-072C5B3D9D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64</xdr:row>
          <xdr:rowOff>139700</xdr:rowOff>
        </xdr:from>
        <xdr:ext cx="803827" cy="217004"/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7BDBB99-94FE-49AE-AD31-1BE239FA59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64</xdr:row>
          <xdr:rowOff>139700</xdr:rowOff>
        </xdr:from>
        <xdr:ext cx="426554" cy="217004"/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2857B548-F3CC-4A69-B86D-C4B6B7BBCA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65</xdr:row>
          <xdr:rowOff>133350</xdr:rowOff>
        </xdr:from>
        <xdr:ext cx="803827" cy="226529"/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CFA04747-D95D-48EA-BB2A-65B271C020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65</xdr:row>
          <xdr:rowOff>133350</xdr:rowOff>
        </xdr:from>
        <xdr:ext cx="417029" cy="226529"/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4B4C645A-5DC0-4E5F-8631-ECAC163C05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66</xdr:row>
          <xdr:rowOff>133350</xdr:rowOff>
        </xdr:from>
        <xdr:ext cx="803827" cy="226529"/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682CF2CE-21E5-4EAF-BE2A-24B5C6AB4D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66</xdr:row>
          <xdr:rowOff>133350</xdr:rowOff>
        </xdr:from>
        <xdr:ext cx="417029" cy="226529"/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1F5C26D4-3622-438F-B221-1B1B5AF4FB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67</xdr:row>
          <xdr:rowOff>133350</xdr:rowOff>
        </xdr:from>
        <xdr:ext cx="803827" cy="226530"/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E5939CB1-6E81-4446-8850-8ACFFF639F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67</xdr:row>
          <xdr:rowOff>133350</xdr:rowOff>
        </xdr:from>
        <xdr:ext cx="426554" cy="226530"/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1DB69563-87F9-402D-8723-0CF5FB48AB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68</xdr:row>
          <xdr:rowOff>133350</xdr:rowOff>
        </xdr:from>
        <xdr:ext cx="803827" cy="226530"/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34B506E5-32FE-4396-9784-9C626C3A75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68</xdr:row>
          <xdr:rowOff>133350</xdr:rowOff>
        </xdr:from>
        <xdr:ext cx="417029" cy="226530"/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4AC3D89D-1749-4AA9-85D0-C9440C50A0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63</xdr:row>
          <xdr:rowOff>133350</xdr:rowOff>
        </xdr:from>
        <xdr:ext cx="803827" cy="226529"/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5A662CA-D2D4-430D-98C3-36EAE264B2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63</xdr:row>
          <xdr:rowOff>133350</xdr:rowOff>
        </xdr:from>
        <xdr:ext cx="417029" cy="226529"/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8E889ABE-3075-4570-B79E-256FA809DC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69</xdr:row>
          <xdr:rowOff>139700</xdr:rowOff>
        </xdr:from>
        <xdr:ext cx="803827" cy="236054"/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A39A4E2C-A34F-4CA1-9625-4FF4B7F603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69</xdr:row>
          <xdr:rowOff>146050</xdr:rowOff>
        </xdr:from>
        <xdr:ext cx="436079" cy="236054"/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AEDC4C5C-0B03-4F46-B088-28C7CC5598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70</xdr:row>
          <xdr:rowOff>139700</xdr:rowOff>
        </xdr:from>
        <xdr:ext cx="803827" cy="236054"/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96CEFB5F-7B60-487B-8F4E-F942D85F28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70</xdr:row>
          <xdr:rowOff>139700</xdr:rowOff>
        </xdr:from>
        <xdr:ext cx="426554" cy="236054"/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C74A0ADB-06CB-4808-BEBA-A96EAB663D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71</xdr:row>
          <xdr:rowOff>133350</xdr:rowOff>
        </xdr:from>
        <xdr:ext cx="803827" cy="223354"/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3D041500-35B6-4933-BC09-C88F7AACFB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71</xdr:row>
          <xdr:rowOff>133350</xdr:rowOff>
        </xdr:from>
        <xdr:ext cx="417029" cy="223354"/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5266DB54-78BF-4886-B720-478307D785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72</xdr:row>
          <xdr:rowOff>133350</xdr:rowOff>
        </xdr:from>
        <xdr:ext cx="803827" cy="226530"/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62B3AC13-16C5-4A60-B2B9-377212CBD3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72</xdr:row>
          <xdr:rowOff>133350</xdr:rowOff>
        </xdr:from>
        <xdr:ext cx="417029" cy="226530"/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AC478178-3D11-4FC1-BAD1-6C2A79BCC2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73</xdr:row>
          <xdr:rowOff>133350</xdr:rowOff>
        </xdr:from>
        <xdr:ext cx="803827" cy="226530"/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5B9F043-B2FD-49D4-878F-F757A5E859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73</xdr:row>
          <xdr:rowOff>133350</xdr:rowOff>
        </xdr:from>
        <xdr:ext cx="426554" cy="226530"/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F4C21137-3CED-4CAD-9F47-E8BCF92EFF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74</xdr:row>
          <xdr:rowOff>133350</xdr:rowOff>
        </xdr:from>
        <xdr:ext cx="803827" cy="226529"/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F4FBC18F-3797-470D-8C3A-88D0B0217B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74</xdr:row>
          <xdr:rowOff>133350</xdr:rowOff>
        </xdr:from>
        <xdr:ext cx="417029" cy="226529"/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BE01E14A-5AC9-41EF-9033-4689B7C645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75</xdr:row>
          <xdr:rowOff>133350</xdr:rowOff>
        </xdr:from>
        <xdr:ext cx="803827" cy="226529"/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E8DE8BD2-EDC5-41F5-8B87-5D6107142D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75</xdr:row>
          <xdr:rowOff>133350</xdr:rowOff>
        </xdr:from>
        <xdr:ext cx="417029" cy="217004"/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F450F83B-E4F3-4876-BFCF-2C280FC257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76</xdr:row>
          <xdr:rowOff>139700</xdr:rowOff>
        </xdr:from>
        <xdr:ext cx="803827" cy="217004"/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D024163D-7B9F-4617-A5CC-D3ABF658EA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76</xdr:row>
          <xdr:rowOff>139700</xdr:rowOff>
        </xdr:from>
        <xdr:ext cx="426554" cy="217004"/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7F0DBF17-7752-4A92-88AA-940B57550D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77</xdr:row>
          <xdr:rowOff>133350</xdr:rowOff>
        </xdr:from>
        <xdr:ext cx="803827" cy="207479"/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3A240481-FB86-42C6-AD10-26679D4686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77</xdr:row>
          <xdr:rowOff>133350</xdr:rowOff>
        </xdr:from>
        <xdr:ext cx="417029" cy="207479"/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DF902E-6F08-46A1-9DFA-DE78D1B976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78</xdr:row>
          <xdr:rowOff>133350</xdr:rowOff>
        </xdr:from>
        <xdr:ext cx="803827" cy="207480"/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F090C1F5-A3A6-4508-87D7-D779994D09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78</xdr:row>
          <xdr:rowOff>133350</xdr:rowOff>
        </xdr:from>
        <xdr:ext cx="417029" cy="207480"/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BF6F9811-A1E0-4E55-B4E6-64BAB05A77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79</xdr:row>
          <xdr:rowOff>133350</xdr:rowOff>
        </xdr:from>
        <xdr:ext cx="803827" cy="207480"/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DC68F202-9914-4073-AC33-EB34C2D36F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79</xdr:row>
          <xdr:rowOff>133350</xdr:rowOff>
        </xdr:from>
        <xdr:ext cx="426554" cy="207480"/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3BD7C510-FA85-4F63-8E14-3C910C364B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80</xdr:row>
          <xdr:rowOff>133350</xdr:rowOff>
        </xdr:from>
        <xdr:ext cx="803827" cy="226529"/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F84846ED-0B67-4DE4-BD93-891761E245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80</xdr:row>
          <xdr:rowOff>133350</xdr:rowOff>
        </xdr:from>
        <xdr:ext cx="417029" cy="217004"/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74DD988B-81DB-47B0-A7E9-31AC354894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81</xdr:row>
          <xdr:rowOff>139700</xdr:rowOff>
        </xdr:from>
        <xdr:ext cx="803827" cy="236054"/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B36D7CBD-06CF-46A3-9D9A-EABC3620DB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81</xdr:row>
          <xdr:rowOff>146050</xdr:rowOff>
        </xdr:from>
        <xdr:ext cx="436079" cy="236054"/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554C4EE3-9C94-42C5-A779-A70B7B4007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82</xdr:row>
          <xdr:rowOff>139700</xdr:rowOff>
        </xdr:from>
        <xdr:ext cx="803827" cy="236054"/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B6F9287A-6C96-4C26-871E-BB1CD5A701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82</xdr:row>
          <xdr:rowOff>139700</xdr:rowOff>
        </xdr:from>
        <xdr:ext cx="426554" cy="236054"/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EF82C1BB-5968-433C-89E1-E272664431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83</xdr:row>
          <xdr:rowOff>133350</xdr:rowOff>
        </xdr:from>
        <xdr:ext cx="803827" cy="223354"/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7383F489-0E02-4ED2-A61C-A28C63EC38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83</xdr:row>
          <xdr:rowOff>133350</xdr:rowOff>
        </xdr:from>
        <xdr:ext cx="417029" cy="223354"/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55954083-9100-4EC3-9082-1C9E17CDE0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84</xdr:row>
          <xdr:rowOff>133350</xdr:rowOff>
        </xdr:from>
        <xdr:ext cx="803827" cy="226530"/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7A785DD7-F572-48F9-BA76-FD7D18AC00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84</xdr:row>
          <xdr:rowOff>133350</xdr:rowOff>
        </xdr:from>
        <xdr:ext cx="417029" cy="226530"/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66D1B901-D174-4047-997B-54A488B016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85</xdr:row>
          <xdr:rowOff>133350</xdr:rowOff>
        </xdr:from>
        <xdr:ext cx="803827" cy="226530"/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6F95A956-52CD-4214-B98C-9A0553D7A3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85</xdr:row>
          <xdr:rowOff>133350</xdr:rowOff>
        </xdr:from>
        <xdr:ext cx="426554" cy="226530"/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79EC57D8-665F-47C2-8590-A991A84E3D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86</xdr:row>
          <xdr:rowOff>133350</xdr:rowOff>
        </xdr:from>
        <xdr:ext cx="803827" cy="226529"/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EC3C0EFC-35F1-473B-8931-3DD236FA93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1242</xdr:colOff>
          <xdr:row>86</xdr:row>
          <xdr:rowOff>131417</xdr:rowOff>
        </xdr:from>
        <xdr:ext cx="417029" cy="226529"/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1BD8A9CE-304D-4741-95A2-6134B4043E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89</xdr:row>
          <xdr:rowOff>139700</xdr:rowOff>
        </xdr:from>
        <xdr:ext cx="803827" cy="217004"/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86929604-DA3C-4CCD-B8A8-4181188BF8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89</xdr:row>
          <xdr:rowOff>139700</xdr:rowOff>
        </xdr:from>
        <xdr:ext cx="426554" cy="217004"/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137CD744-07EE-4371-9333-F3022043A9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90</xdr:row>
          <xdr:rowOff>133350</xdr:rowOff>
        </xdr:from>
        <xdr:ext cx="803827" cy="226529"/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8D95477B-2C88-4824-896C-5F9A32E9ED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90</xdr:row>
          <xdr:rowOff>133350</xdr:rowOff>
        </xdr:from>
        <xdr:ext cx="417029" cy="226529"/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65AFA0CA-91AB-4A5A-B96E-6EEEA3D3C4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91</xdr:row>
          <xdr:rowOff>133350</xdr:rowOff>
        </xdr:from>
        <xdr:ext cx="803827" cy="226529"/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F009F499-0D55-4273-B255-9DFC986EF8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91</xdr:row>
          <xdr:rowOff>133350</xdr:rowOff>
        </xdr:from>
        <xdr:ext cx="417029" cy="226529"/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78B3FD0B-F9D8-4658-828B-2F3F34A552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92</xdr:row>
          <xdr:rowOff>133350</xdr:rowOff>
        </xdr:from>
        <xdr:ext cx="803827" cy="226530"/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EA701A3F-EBF4-4F7D-B2BE-F6896AE5B2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92</xdr:row>
          <xdr:rowOff>133350</xdr:rowOff>
        </xdr:from>
        <xdr:ext cx="426554" cy="226530"/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5B9BF582-B649-4DDD-97C3-5BC6C70113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93</xdr:row>
          <xdr:rowOff>133350</xdr:rowOff>
        </xdr:from>
        <xdr:ext cx="803827" cy="226530"/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66793E0B-438A-4423-B0DC-D6715AA940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93</xdr:row>
          <xdr:rowOff>133350</xdr:rowOff>
        </xdr:from>
        <xdr:ext cx="417029" cy="226530"/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5AC006EB-43F4-445E-B640-73AC5C61D2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88</xdr:row>
          <xdr:rowOff>139700</xdr:rowOff>
        </xdr:from>
        <xdr:ext cx="803827" cy="217004"/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FEBDA4B-54D2-442B-BBC2-39B3A10FB5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88</xdr:row>
          <xdr:rowOff>139700</xdr:rowOff>
        </xdr:from>
        <xdr:ext cx="426554" cy="217004"/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42541406-D4BC-4CCE-9156-F44CDE5815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5.xml"/><Relationship Id="rId117" Type="http://schemas.openxmlformats.org/officeDocument/2006/relationships/ctrlProp" Target="../ctrlProps/ctrlProp116.xml"/><Relationship Id="rId21" Type="http://schemas.openxmlformats.org/officeDocument/2006/relationships/ctrlProp" Target="../ctrlProps/ctrlProp20.xml"/><Relationship Id="rId42" Type="http://schemas.openxmlformats.org/officeDocument/2006/relationships/ctrlProp" Target="../ctrlProps/ctrlProp41.xml"/><Relationship Id="rId47" Type="http://schemas.openxmlformats.org/officeDocument/2006/relationships/ctrlProp" Target="../ctrlProps/ctrlProp46.xml"/><Relationship Id="rId63" Type="http://schemas.openxmlformats.org/officeDocument/2006/relationships/ctrlProp" Target="../ctrlProps/ctrlProp62.xml"/><Relationship Id="rId68" Type="http://schemas.openxmlformats.org/officeDocument/2006/relationships/ctrlProp" Target="../ctrlProps/ctrlProp67.xml"/><Relationship Id="rId84" Type="http://schemas.openxmlformats.org/officeDocument/2006/relationships/ctrlProp" Target="../ctrlProps/ctrlProp83.xml"/><Relationship Id="rId89" Type="http://schemas.openxmlformats.org/officeDocument/2006/relationships/ctrlProp" Target="../ctrlProps/ctrlProp88.xml"/><Relationship Id="rId112" Type="http://schemas.openxmlformats.org/officeDocument/2006/relationships/ctrlProp" Target="../ctrlProps/ctrlProp111.xml"/><Relationship Id="rId133" Type="http://schemas.openxmlformats.org/officeDocument/2006/relationships/ctrlProp" Target="../ctrlProps/ctrlProp132.xml"/><Relationship Id="rId138" Type="http://schemas.openxmlformats.org/officeDocument/2006/relationships/ctrlProp" Target="../ctrlProps/ctrlProp137.xml"/><Relationship Id="rId154" Type="http://schemas.openxmlformats.org/officeDocument/2006/relationships/ctrlProp" Target="../ctrlProps/ctrlProp153.xml"/><Relationship Id="rId159" Type="http://schemas.openxmlformats.org/officeDocument/2006/relationships/ctrlProp" Target="../ctrlProps/ctrlProp158.xml"/><Relationship Id="rId175" Type="http://schemas.openxmlformats.org/officeDocument/2006/relationships/ctrlProp" Target="../ctrlProps/ctrlProp174.xml"/><Relationship Id="rId170" Type="http://schemas.openxmlformats.org/officeDocument/2006/relationships/ctrlProp" Target="../ctrlProps/ctrlProp169.xml"/><Relationship Id="rId16" Type="http://schemas.openxmlformats.org/officeDocument/2006/relationships/ctrlProp" Target="../ctrlProps/ctrlProp15.xml"/><Relationship Id="rId107" Type="http://schemas.openxmlformats.org/officeDocument/2006/relationships/ctrlProp" Target="../ctrlProps/ctrlProp106.xml"/><Relationship Id="rId11" Type="http://schemas.openxmlformats.org/officeDocument/2006/relationships/ctrlProp" Target="../ctrlProps/ctrlProp10.xml"/><Relationship Id="rId32" Type="http://schemas.openxmlformats.org/officeDocument/2006/relationships/ctrlProp" Target="../ctrlProps/ctrlProp31.xml"/><Relationship Id="rId37" Type="http://schemas.openxmlformats.org/officeDocument/2006/relationships/ctrlProp" Target="../ctrlProps/ctrlProp36.xml"/><Relationship Id="rId53" Type="http://schemas.openxmlformats.org/officeDocument/2006/relationships/ctrlProp" Target="../ctrlProps/ctrlProp52.xml"/><Relationship Id="rId58" Type="http://schemas.openxmlformats.org/officeDocument/2006/relationships/ctrlProp" Target="../ctrlProps/ctrlProp57.xml"/><Relationship Id="rId74" Type="http://schemas.openxmlformats.org/officeDocument/2006/relationships/ctrlProp" Target="../ctrlProps/ctrlProp73.xml"/><Relationship Id="rId79" Type="http://schemas.openxmlformats.org/officeDocument/2006/relationships/ctrlProp" Target="../ctrlProps/ctrlProp78.xml"/><Relationship Id="rId102" Type="http://schemas.openxmlformats.org/officeDocument/2006/relationships/ctrlProp" Target="../ctrlProps/ctrlProp101.xml"/><Relationship Id="rId123" Type="http://schemas.openxmlformats.org/officeDocument/2006/relationships/ctrlProp" Target="../ctrlProps/ctrlProp122.xml"/><Relationship Id="rId128" Type="http://schemas.openxmlformats.org/officeDocument/2006/relationships/ctrlProp" Target="../ctrlProps/ctrlProp127.xml"/><Relationship Id="rId144" Type="http://schemas.openxmlformats.org/officeDocument/2006/relationships/ctrlProp" Target="../ctrlProps/ctrlProp143.xml"/><Relationship Id="rId149" Type="http://schemas.openxmlformats.org/officeDocument/2006/relationships/ctrlProp" Target="../ctrlProps/ctrlProp148.xml"/><Relationship Id="rId5" Type="http://schemas.openxmlformats.org/officeDocument/2006/relationships/ctrlProp" Target="../ctrlProps/ctrlProp4.xml"/><Relationship Id="rId90" Type="http://schemas.openxmlformats.org/officeDocument/2006/relationships/ctrlProp" Target="../ctrlProps/ctrlProp89.xml"/><Relationship Id="rId95" Type="http://schemas.openxmlformats.org/officeDocument/2006/relationships/ctrlProp" Target="../ctrlProps/ctrlProp94.xml"/><Relationship Id="rId160" Type="http://schemas.openxmlformats.org/officeDocument/2006/relationships/ctrlProp" Target="../ctrlProps/ctrlProp159.xml"/><Relationship Id="rId165" Type="http://schemas.openxmlformats.org/officeDocument/2006/relationships/ctrlProp" Target="../ctrlProps/ctrlProp164.xml"/><Relationship Id="rId22" Type="http://schemas.openxmlformats.org/officeDocument/2006/relationships/ctrlProp" Target="../ctrlProps/ctrlProp21.xml"/><Relationship Id="rId27" Type="http://schemas.openxmlformats.org/officeDocument/2006/relationships/ctrlProp" Target="../ctrlProps/ctrlProp26.xml"/><Relationship Id="rId43" Type="http://schemas.openxmlformats.org/officeDocument/2006/relationships/ctrlProp" Target="../ctrlProps/ctrlProp42.xml"/><Relationship Id="rId48" Type="http://schemas.openxmlformats.org/officeDocument/2006/relationships/ctrlProp" Target="../ctrlProps/ctrlProp47.xml"/><Relationship Id="rId64" Type="http://schemas.openxmlformats.org/officeDocument/2006/relationships/ctrlProp" Target="../ctrlProps/ctrlProp63.xml"/><Relationship Id="rId69" Type="http://schemas.openxmlformats.org/officeDocument/2006/relationships/ctrlProp" Target="../ctrlProps/ctrlProp68.xml"/><Relationship Id="rId113" Type="http://schemas.openxmlformats.org/officeDocument/2006/relationships/ctrlProp" Target="../ctrlProps/ctrlProp112.xml"/><Relationship Id="rId118" Type="http://schemas.openxmlformats.org/officeDocument/2006/relationships/ctrlProp" Target="../ctrlProps/ctrlProp117.xml"/><Relationship Id="rId134" Type="http://schemas.openxmlformats.org/officeDocument/2006/relationships/ctrlProp" Target="../ctrlProps/ctrlProp133.xml"/><Relationship Id="rId139" Type="http://schemas.openxmlformats.org/officeDocument/2006/relationships/ctrlProp" Target="../ctrlProps/ctrlProp138.xml"/><Relationship Id="rId80" Type="http://schemas.openxmlformats.org/officeDocument/2006/relationships/ctrlProp" Target="../ctrlProps/ctrlProp79.xml"/><Relationship Id="rId85" Type="http://schemas.openxmlformats.org/officeDocument/2006/relationships/ctrlProp" Target="../ctrlProps/ctrlProp84.xml"/><Relationship Id="rId150" Type="http://schemas.openxmlformats.org/officeDocument/2006/relationships/ctrlProp" Target="../ctrlProps/ctrlProp149.xml"/><Relationship Id="rId155" Type="http://schemas.openxmlformats.org/officeDocument/2006/relationships/ctrlProp" Target="../ctrlProps/ctrlProp154.xml"/><Relationship Id="rId171" Type="http://schemas.openxmlformats.org/officeDocument/2006/relationships/ctrlProp" Target="../ctrlProps/ctrlProp170.xml"/><Relationship Id="rId176" Type="http://schemas.openxmlformats.org/officeDocument/2006/relationships/ctrlProp" Target="../ctrlProps/ctrlProp175.xml"/><Relationship Id="rId12" Type="http://schemas.openxmlformats.org/officeDocument/2006/relationships/ctrlProp" Target="../ctrlProps/ctrlProp11.xml"/><Relationship Id="rId17" Type="http://schemas.openxmlformats.org/officeDocument/2006/relationships/ctrlProp" Target="../ctrlProps/ctrlProp16.xml"/><Relationship Id="rId33" Type="http://schemas.openxmlformats.org/officeDocument/2006/relationships/ctrlProp" Target="../ctrlProps/ctrlProp32.xml"/><Relationship Id="rId38" Type="http://schemas.openxmlformats.org/officeDocument/2006/relationships/ctrlProp" Target="../ctrlProps/ctrlProp37.xml"/><Relationship Id="rId59" Type="http://schemas.openxmlformats.org/officeDocument/2006/relationships/ctrlProp" Target="../ctrlProps/ctrlProp58.xml"/><Relationship Id="rId103" Type="http://schemas.openxmlformats.org/officeDocument/2006/relationships/ctrlProp" Target="../ctrlProps/ctrlProp102.xml"/><Relationship Id="rId108" Type="http://schemas.openxmlformats.org/officeDocument/2006/relationships/ctrlProp" Target="../ctrlProps/ctrlProp107.xml"/><Relationship Id="rId124" Type="http://schemas.openxmlformats.org/officeDocument/2006/relationships/ctrlProp" Target="../ctrlProps/ctrlProp123.xml"/><Relationship Id="rId129" Type="http://schemas.openxmlformats.org/officeDocument/2006/relationships/ctrlProp" Target="../ctrlProps/ctrlProp128.xml"/><Relationship Id="rId54" Type="http://schemas.openxmlformats.org/officeDocument/2006/relationships/ctrlProp" Target="../ctrlProps/ctrlProp53.xml"/><Relationship Id="rId70" Type="http://schemas.openxmlformats.org/officeDocument/2006/relationships/ctrlProp" Target="../ctrlProps/ctrlProp69.xml"/><Relationship Id="rId75" Type="http://schemas.openxmlformats.org/officeDocument/2006/relationships/ctrlProp" Target="../ctrlProps/ctrlProp74.xml"/><Relationship Id="rId91" Type="http://schemas.openxmlformats.org/officeDocument/2006/relationships/ctrlProp" Target="../ctrlProps/ctrlProp90.xml"/><Relationship Id="rId96" Type="http://schemas.openxmlformats.org/officeDocument/2006/relationships/ctrlProp" Target="../ctrlProps/ctrlProp95.xml"/><Relationship Id="rId140" Type="http://schemas.openxmlformats.org/officeDocument/2006/relationships/ctrlProp" Target="../ctrlProps/ctrlProp139.xml"/><Relationship Id="rId145" Type="http://schemas.openxmlformats.org/officeDocument/2006/relationships/ctrlProp" Target="../ctrlProps/ctrlProp144.xml"/><Relationship Id="rId161" Type="http://schemas.openxmlformats.org/officeDocument/2006/relationships/ctrlProp" Target="../ctrlProps/ctrlProp160.xml"/><Relationship Id="rId166" Type="http://schemas.openxmlformats.org/officeDocument/2006/relationships/ctrlProp" Target="../ctrlProps/ctrlProp165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5.xml"/><Relationship Id="rId23" Type="http://schemas.openxmlformats.org/officeDocument/2006/relationships/ctrlProp" Target="../ctrlProps/ctrlProp22.xml"/><Relationship Id="rId28" Type="http://schemas.openxmlformats.org/officeDocument/2006/relationships/ctrlProp" Target="../ctrlProps/ctrlProp27.xml"/><Relationship Id="rId49" Type="http://schemas.openxmlformats.org/officeDocument/2006/relationships/ctrlProp" Target="../ctrlProps/ctrlProp48.xml"/><Relationship Id="rId114" Type="http://schemas.openxmlformats.org/officeDocument/2006/relationships/ctrlProp" Target="../ctrlProps/ctrlProp113.xml"/><Relationship Id="rId119" Type="http://schemas.openxmlformats.org/officeDocument/2006/relationships/ctrlProp" Target="../ctrlProps/ctrlProp118.xml"/><Relationship Id="rId10" Type="http://schemas.openxmlformats.org/officeDocument/2006/relationships/ctrlProp" Target="../ctrlProps/ctrlProp9.xml"/><Relationship Id="rId31" Type="http://schemas.openxmlformats.org/officeDocument/2006/relationships/ctrlProp" Target="../ctrlProps/ctrlProp30.xml"/><Relationship Id="rId44" Type="http://schemas.openxmlformats.org/officeDocument/2006/relationships/ctrlProp" Target="../ctrlProps/ctrlProp43.xml"/><Relationship Id="rId52" Type="http://schemas.openxmlformats.org/officeDocument/2006/relationships/ctrlProp" Target="../ctrlProps/ctrlProp51.xml"/><Relationship Id="rId60" Type="http://schemas.openxmlformats.org/officeDocument/2006/relationships/ctrlProp" Target="../ctrlProps/ctrlProp59.xml"/><Relationship Id="rId65" Type="http://schemas.openxmlformats.org/officeDocument/2006/relationships/ctrlProp" Target="../ctrlProps/ctrlProp64.xml"/><Relationship Id="rId73" Type="http://schemas.openxmlformats.org/officeDocument/2006/relationships/ctrlProp" Target="../ctrlProps/ctrlProp72.xml"/><Relationship Id="rId78" Type="http://schemas.openxmlformats.org/officeDocument/2006/relationships/ctrlProp" Target="../ctrlProps/ctrlProp77.xml"/><Relationship Id="rId81" Type="http://schemas.openxmlformats.org/officeDocument/2006/relationships/ctrlProp" Target="../ctrlProps/ctrlProp80.xml"/><Relationship Id="rId86" Type="http://schemas.openxmlformats.org/officeDocument/2006/relationships/ctrlProp" Target="../ctrlProps/ctrlProp85.xml"/><Relationship Id="rId94" Type="http://schemas.openxmlformats.org/officeDocument/2006/relationships/ctrlProp" Target="../ctrlProps/ctrlProp93.xml"/><Relationship Id="rId99" Type="http://schemas.openxmlformats.org/officeDocument/2006/relationships/ctrlProp" Target="../ctrlProps/ctrlProp98.xml"/><Relationship Id="rId101" Type="http://schemas.openxmlformats.org/officeDocument/2006/relationships/ctrlProp" Target="../ctrlProps/ctrlProp100.xml"/><Relationship Id="rId122" Type="http://schemas.openxmlformats.org/officeDocument/2006/relationships/ctrlProp" Target="../ctrlProps/ctrlProp121.xml"/><Relationship Id="rId130" Type="http://schemas.openxmlformats.org/officeDocument/2006/relationships/ctrlProp" Target="../ctrlProps/ctrlProp129.xml"/><Relationship Id="rId135" Type="http://schemas.openxmlformats.org/officeDocument/2006/relationships/ctrlProp" Target="../ctrlProps/ctrlProp134.xml"/><Relationship Id="rId143" Type="http://schemas.openxmlformats.org/officeDocument/2006/relationships/ctrlProp" Target="../ctrlProps/ctrlProp142.xml"/><Relationship Id="rId148" Type="http://schemas.openxmlformats.org/officeDocument/2006/relationships/ctrlProp" Target="../ctrlProps/ctrlProp147.xml"/><Relationship Id="rId151" Type="http://schemas.openxmlformats.org/officeDocument/2006/relationships/ctrlProp" Target="../ctrlProps/ctrlProp150.xml"/><Relationship Id="rId156" Type="http://schemas.openxmlformats.org/officeDocument/2006/relationships/ctrlProp" Target="../ctrlProps/ctrlProp155.xml"/><Relationship Id="rId164" Type="http://schemas.openxmlformats.org/officeDocument/2006/relationships/ctrlProp" Target="../ctrlProps/ctrlProp163.xml"/><Relationship Id="rId169" Type="http://schemas.openxmlformats.org/officeDocument/2006/relationships/ctrlProp" Target="../ctrlProps/ctrlProp168.xml"/><Relationship Id="rId177" Type="http://schemas.openxmlformats.org/officeDocument/2006/relationships/ctrlProp" Target="../ctrlProps/ctrlProp176.xml"/><Relationship Id="rId4" Type="http://schemas.openxmlformats.org/officeDocument/2006/relationships/ctrlProp" Target="../ctrlProps/ctrlProp3.xml"/><Relationship Id="rId9" Type="http://schemas.openxmlformats.org/officeDocument/2006/relationships/ctrlProp" Target="../ctrlProps/ctrlProp8.xml"/><Relationship Id="rId172" Type="http://schemas.openxmlformats.org/officeDocument/2006/relationships/ctrlProp" Target="../ctrlProps/ctrlProp171.xml"/><Relationship Id="rId13" Type="http://schemas.openxmlformats.org/officeDocument/2006/relationships/ctrlProp" Target="../ctrlProps/ctrlProp12.xml"/><Relationship Id="rId18" Type="http://schemas.openxmlformats.org/officeDocument/2006/relationships/ctrlProp" Target="../ctrlProps/ctrlProp17.xml"/><Relationship Id="rId39" Type="http://schemas.openxmlformats.org/officeDocument/2006/relationships/ctrlProp" Target="../ctrlProps/ctrlProp38.xml"/><Relationship Id="rId109" Type="http://schemas.openxmlformats.org/officeDocument/2006/relationships/ctrlProp" Target="../ctrlProps/ctrlProp108.xml"/><Relationship Id="rId34" Type="http://schemas.openxmlformats.org/officeDocument/2006/relationships/ctrlProp" Target="../ctrlProps/ctrlProp33.xml"/><Relationship Id="rId50" Type="http://schemas.openxmlformats.org/officeDocument/2006/relationships/ctrlProp" Target="../ctrlProps/ctrlProp49.xml"/><Relationship Id="rId55" Type="http://schemas.openxmlformats.org/officeDocument/2006/relationships/ctrlProp" Target="../ctrlProps/ctrlProp54.xml"/><Relationship Id="rId76" Type="http://schemas.openxmlformats.org/officeDocument/2006/relationships/ctrlProp" Target="../ctrlProps/ctrlProp75.xml"/><Relationship Id="rId97" Type="http://schemas.openxmlformats.org/officeDocument/2006/relationships/ctrlProp" Target="../ctrlProps/ctrlProp96.xml"/><Relationship Id="rId104" Type="http://schemas.openxmlformats.org/officeDocument/2006/relationships/ctrlProp" Target="../ctrlProps/ctrlProp103.xml"/><Relationship Id="rId120" Type="http://schemas.openxmlformats.org/officeDocument/2006/relationships/ctrlProp" Target="../ctrlProps/ctrlProp119.xml"/><Relationship Id="rId125" Type="http://schemas.openxmlformats.org/officeDocument/2006/relationships/ctrlProp" Target="../ctrlProps/ctrlProp124.xml"/><Relationship Id="rId141" Type="http://schemas.openxmlformats.org/officeDocument/2006/relationships/ctrlProp" Target="../ctrlProps/ctrlProp140.xml"/><Relationship Id="rId146" Type="http://schemas.openxmlformats.org/officeDocument/2006/relationships/ctrlProp" Target="../ctrlProps/ctrlProp145.xml"/><Relationship Id="rId167" Type="http://schemas.openxmlformats.org/officeDocument/2006/relationships/ctrlProp" Target="../ctrlProps/ctrlProp166.xml"/><Relationship Id="rId7" Type="http://schemas.openxmlformats.org/officeDocument/2006/relationships/ctrlProp" Target="../ctrlProps/ctrlProp6.xml"/><Relationship Id="rId71" Type="http://schemas.openxmlformats.org/officeDocument/2006/relationships/ctrlProp" Target="../ctrlProps/ctrlProp70.xml"/><Relationship Id="rId92" Type="http://schemas.openxmlformats.org/officeDocument/2006/relationships/ctrlProp" Target="../ctrlProps/ctrlProp91.xml"/><Relationship Id="rId162" Type="http://schemas.openxmlformats.org/officeDocument/2006/relationships/ctrlProp" Target="../ctrlProps/ctrlProp161.xml"/><Relationship Id="rId2" Type="http://schemas.openxmlformats.org/officeDocument/2006/relationships/vmlDrawing" Target="../drawings/vmlDrawing2.vml"/><Relationship Id="rId29" Type="http://schemas.openxmlformats.org/officeDocument/2006/relationships/ctrlProp" Target="../ctrlProps/ctrlProp28.xml"/><Relationship Id="rId24" Type="http://schemas.openxmlformats.org/officeDocument/2006/relationships/ctrlProp" Target="../ctrlProps/ctrlProp23.xml"/><Relationship Id="rId40" Type="http://schemas.openxmlformats.org/officeDocument/2006/relationships/ctrlProp" Target="../ctrlProps/ctrlProp39.xml"/><Relationship Id="rId45" Type="http://schemas.openxmlformats.org/officeDocument/2006/relationships/ctrlProp" Target="../ctrlProps/ctrlProp44.xml"/><Relationship Id="rId66" Type="http://schemas.openxmlformats.org/officeDocument/2006/relationships/ctrlProp" Target="../ctrlProps/ctrlProp65.xml"/><Relationship Id="rId87" Type="http://schemas.openxmlformats.org/officeDocument/2006/relationships/ctrlProp" Target="../ctrlProps/ctrlProp86.xml"/><Relationship Id="rId110" Type="http://schemas.openxmlformats.org/officeDocument/2006/relationships/ctrlProp" Target="../ctrlProps/ctrlProp109.xml"/><Relationship Id="rId115" Type="http://schemas.openxmlformats.org/officeDocument/2006/relationships/ctrlProp" Target="../ctrlProps/ctrlProp114.xml"/><Relationship Id="rId131" Type="http://schemas.openxmlformats.org/officeDocument/2006/relationships/ctrlProp" Target="../ctrlProps/ctrlProp130.xml"/><Relationship Id="rId136" Type="http://schemas.openxmlformats.org/officeDocument/2006/relationships/ctrlProp" Target="../ctrlProps/ctrlProp135.xml"/><Relationship Id="rId157" Type="http://schemas.openxmlformats.org/officeDocument/2006/relationships/ctrlProp" Target="../ctrlProps/ctrlProp156.xml"/><Relationship Id="rId178" Type="http://schemas.openxmlformats.org/officeDocument/2006/relationships/ctrlProp" Target="../ctrlProps/ctrlProp177.xml"/><Relationship Id="rId61" Type="http://schemas.openxmlformats.org/officeDocument/2006/relationships/ctrlProp" Target="../ctrlProps/ctrlProp60.xml"/><Relationship Id="rId82" Type="http://schemas.openxmlformats.org/officeDocument/2006/relationships/ctrlProp" Target="../ctrlProps/ctrlProp81.xml"/><Relationship Id="rId152" Type="http://schemas.openxmlformats.org/officeDocument/2006/relationships/ctrlProp" Target="../ctrlProps/ctrlProp151.xml"/><Relationship Id="rId173" Type="http://schemas.openxmlformats.org/officeDocument/2006/relationships/ctrlProp" Target="../ctrlProps/ctrlProp172.xml"/><Relationship Id="rId19" Type="http://schemas.openxmlformats.org/officeDocument/2006/relationships/ctrlProp" Target="../ctrlProps/ctrlProp18.xml"/><Relationship Id="rId14" Type="http://schemas.openxmlformats.org/officeDocument/2006/relationships/ctrlProp" Target="../ctrlProps/ctrlProp13.xml"/><Relationship Id="rId30" Type="http://schemas.openxmlformats.org/officeDocument/2006/relationships/ctrlProp" Target="../ctrlProps/ctrlProp29.xml"/><Relationship Id="rId35" Type="http://schemas.openxmlformats.org/officeDocument/2006/relationships/ctrlProp" Target="../ctrlProps/ctrlProp34.xml"/><Relationship Id="rId56" Type="http://schemas.openxmlformats.org/officeDocument/2006/relationships/ctrlProp" Target="../ctrlProps/ctrlProp55.xml"/><Relationship Id="rId77" Type="http://schemas.openxmlformats.org/officeDocument/2006/relationships/ctrlProp" Target="../ctrlProps/ctrlProp76.xml"/><Relationship Id="rId100" Type="http://schemas.openxmlformats.org/officeDocument/2006/relationships/ctrlProp" Target="../ctrlProps/ctrlProp99.xml"/><Relationship Id="rId105" Type="http://schemas.openxmlformats.org/officeDocument/2006/relationships/ctrlProp" Target="../ctrlProps/ctrlProp104.xml"/><Relationship Id="rId126" Type="http://schemas.openxmlformats.org/officeDocument/2006/relationships/ctrlProp" Target="../ctrlProps/ctrlProp125.xml"/><Relationship Id="rId147" Type="http://schemas.openxmlformats.org/officeDocument/2006/relationships/ctrlProp" Target="../ctrlProps/ctrlProp146.xml"/><Relationship Id="rId168" Type="http://schemas.openxmlformats.org/officeDocument/2006/relationships/ctrlProp" Target="../ctrlProps/ctrlProp167.xml"/><Relationship Id="rId8" Type="http://schemas.openxmlformats.org/officeDocument/2006/relationships/ctrlProp" Target="../ctrlProps/ctrlProp7.xml"/><Relationship Id="rId51" Type="http://schemas.openxmlformats.org/officeDocument/2006/relationships/ctrlProp" Target="../ctrlProps/ctrlProp50.xml"/><Relationship Id="rId72" Type="http://schemas.openxmlformats.org/officeDocument/2006/relationships/ctrlProp" Target="../ctrlProps/ctrlProp71.xml"/><Relationship Id="rId93" Type="http://schemas.openxmlformats.org/officeDocument/2006/relationships/ctrlProp" Target="../ctrlProps/ctrlProp92.xml"/><Relationship Id="rId98" Type="http://schemas.openxmlformats.org/officeDocument/2006/relationships/ctrlProp" Target="../ctrlProps/ctrlProp97.xml"/><Relationship Id="rId121" Type="http://schemas.openxmlformats.org/officeDocument/2006/relationships/ctrlProp" Target="../ctrlProps/ctrlProp120.xml"/><Relationship Id="rId142" Type="http://schemas.openxmlformats.org/officeDocument/2006/relationships/ctrlProp" Target="../ctrlProps/ctrlProp141.xml"/><Relationship Id="rId163" Type="http://schemas.openxmlformats.org/officeDocument/2006/relationships/ctrlProp" Target="../ctrlProps/ctrlProp162.xml"/><Relationship Id="rId3" Type="http://schemas.openxmlformats.org/officeDocument/2006/relationships/ctrlProp" Target="../ctrlProps/ctrlProp2.xml"/><Relationship Id="rId25" Type="http://schemas.openxmlformats.org/officeDocument/2006/relationships/ctrlProp" Target="../ctrlProps/ctrlProp24.xml"/><Relationship Id="rId46" Type="http://schemas.openxmlformats.org/officeDocument/2006/relationships/ctrlProp" Target="../ctrlProps/ctrlProp45.xml"/><Relationship Id="rId67" Type="http://schemas.openxmlformats.org/officeDocument/2006/relationships/ctrlProp" Target="../ctrlProps/ctrlProp66.xml"/><Relationship Id="rId116" Type="http://schemas.openxmlformats.org/officeDocument/2006/relationships/ctrlProp" Target="../ctrlProps/ctrlProp115.xml"/><Relationship Id="rId137" Type="http://schemas.openxmlformats.org/officeDocument/2006/relationships/ctrlProp" Target="../ctrlProps/ctrlProp136.xml"/><Relationship Id="rId158" Type="http://schemas.openxmlformats.org/officeDocument/2006/relationships/ctrlProp" Target="../ctrlProps/ctrlProp157.xml"/><Relationship Id="rId20" Type="http://schemas.openxmlformats.org/officeDocument/2006/relationships/ctrlProp" Target="../ctrlProps/ctrlProp19.xml"/><Relationship Id="rId41" Type="http://schemas.openxmlformats.org/officeDocument/2006/relationships/ctrlProp" Target="../ctrlProps/ctrlProp40.xml"/><Relationship Id="rId62" Type="http://schemas.openxmlformats.org/officeDocument/2006/relationships/ctrlProp" Target="../ctrlProps/ctrlProp61.xml"/><Relationship Id="rId83" Type="http://schemas.openxmlformats.org/officeDocument/2006/relationships/ctrlProp" Target="../ctrlProps/ctrlProp82.xml"/><Relationship Id="rId88" Type="http://schemas.openxmlformats.org/officeDocument/2006/relationships/ctrlProp" Target="../ctrlProps/ctrlProp87.xml"/><Relationship Id="rId111" Type="http://schemas.openxmlformats.org/officeDocument/2006/relationships/ctrlProp" Target="../ctrlProps/ctrlProp110.xml"/><Relationship Id="rId132" Type="http://schemas.openxmlformats.org/officeDocument/2006/relationships/ctrlProp" Target="../ctrlProps/ctrlProp131.xml"/><Relationship Id="rId153" Type="http://schemas.openxmlformats.org/officeDocument/2006/relationships/ctrlProp" Target="../ctrlProps/ctrlProp152.xml"/><Relationship Id="rId174" Type="http://schemas.openxmlformats.org/officeDocument/2006/relationships/ctrlProp" Target="../ctrlProps/ctrlProp173.xml"/><Relationship Id="rId15" Type="http://schemas.openxmlformats.org/officeDocument/2006/relationships/ctrlProp" Target="../ctrlProps/ctrlProp14.xml"/><Relationship Id="rId36" Type="http://schemas.openxmlformats.org/officeDocument/2006/relationships/ctrlProp" Target="../ctrlProps/ctrlProp35.xml"/><Relationship Id="rId57" Type="http://schemas.openxmlformats.org/officeDocument/2006/relationships/ctrlProp" Target="../ctrlProps/ctrlProp56.xml"/><Relationship Id="rId106" Type="http://schemas.openxmlformats.org/officeDocument/2006/relationships/ctrlProp" Target="../ctrlProps/ctrlProp105.xml"/><Relationship Id="rId127" Type="http://schemas.openxmlformats.org/officeDocument/2006/relationships/ctrlProp" Target="../ctrlProps/ctrlProp12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1C70-64C8-49E3-9700-4DA7D6712299}">
  <sheetPr>
    <pageSetUpPr fitToPage="1"/>
  </sheetPr>
  <dimension ref="B1:AR56"/>
  <sheetViews>
    <sheetView defaultGridColor="0" colorId="27" workbookViewId="0">
      <selection activeCell="E48" sqref="E48:F48"/>
    </sheetView>
  </sheetViews>
  <sheetFormatPr defaultColWidth="11.54296875" defaultRowHeight="12.5" x14ac:dyDescent="0.25"/>
  <cols>
    <col min="1" max="1" width="1.54296875" customWidth="1"/>
    <col min="2" max="2" width="26.453125" customWidth="1"/>
    <col min="3" max="22" width="3.6328125" style="1" customWidth="1"/>
    <col min="23" max="42" width="3.6328125" customWidth="1"/>
  </cols>
  <sheetData>
    <row r="1" spans="2:42" ht="21.65" customHeight="1" x14ac:dyDescent="0.25">
      <c r="B1" s="101" t="s">
        <v>50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</row>
    <row r="2" spans="2:42" ht="13" x14ac:dyDescent="0.3">
      <c r="B2" s="2" t="s">
        <v>0</v>
      </c>
      <c r="C2" s="102">
        <v>1</v>
      </c>
      <c r="D2" s="102"/>
      <c r="E2" s="100" t="s">
        <v>91</v>
      </c>
      <c r="F2" s="100"/>
      <c r="G2" s="100">
        <v>3</v>
      </c>
      <c r="H2" s="100"/>
      <c r="I2" s="100" t="s">
        <v>92</v>
      </c>
      <c r="J2" s="100"/>
      <c r="K2" s="100">
        <v>5</v>
      </c>
      <c r="L2" s="100"/>
      <c r="M2" s="100" t="s">
        <v>93</v>
      </c>
      <c r="N2" s="100"/>
      <c r="O2" s="100">
        <v>7</v>
      </c>
      <c r="P2" s="100"/>
      <c r="Q2" s="100" t="s">
        <v>94</v>
      </c>
      <c r="R2" s="100"/>
      <c r="S2" s="100">
        <v>9</v>
      </c>
      <c r="T2" s="100"/>
      <c r="U2" s="100" t="s">
        <v>95</v>
      </c>
      <c r="V2" s="100"/>
      <c r="W2" s="100">
        <v>11</v>
      </c>
      <c r="X2" s="100"/>
      <c r="Y2" s="100" t="s">
        <v>96</v>
      </c>
      <c r="Z2" s="100"/>
      <c r="AA2" s="100">
        <v>13</v>
      </c>
      <c r="AB2" s="100"/>
      <c r="AC2" s="100" t="s">
        <v>97</v>
      </c>
      <c r="AD2" s="100"/>
      <c r="AE2" s="100">
        <v>15</v>
      </c>
      <c r="AF2" s="100"/>
      <c r="AG2" s="100" t="s">
        <v>98</v>
      </c>
      <c r="AH2" s="100"/>
      <c r="AI2" s="100">
        <v>17</v>
      </c>
      <c r="AJ2" s="100"/>
      <c r="AK2" s="100" t="s">
        <v>99</v>
      </c>
      <c r="AL2" s="100"/>
      <c r="AM2" s="100">
        <v>19</v>
      </c>
      <c r="AN2" s="100"/>
      <c r="AO2" s="103" t="s">
        <v>100</v>
      </c>
      <c r="AP2" s="103"/>
    </row>
    <row r="3" spans="2:42" ht="13" x14ac:dyDescent="0.3">
      <c r="B3" s="58" t="s">
        <v>102</v>
      </c>
      <c r="C3" s="109">
        <v>0</v>
      </c>
      <c r="D3" s="109"/>
      <c r="E3" s="104">
        <f>SUM(C25-C26)</f>
        <v>0</v>
      </c>
      <c r="F3" s="104"/>
      <c r="G3" s="104">
        <f>SUM(E25-E26)</f>
        <v>0</v>
      </c>
      <c r="H3" s="104"/>
      <c r="I3" s="104">
        <f>SUM(G25-G26)</f>
        <v>0</v>
      </c>
      <c r="J3" s="104"/>
      <c r="K3" s="104">
        <f>SUM(I25-I26)</f>
        <v>0</v>
      </c>
      <c r="L3" s="104"/>
      <c r="M3" s="104">
        <f>SUM(K25-K26)</f>
        <v>0</v>
      </c>
      <c r="N3" s="104"/>
      <c r="O3" s="104">
        <f>SUM(M25-M26)</f>
        <v>0</v>
      </c>
      <c r="P3" s="104"/>
      <c r="Q3" s="104">
        <f>SUM(O25-O26)</f>
        <v>0</v>
      </c>
      <c r="R3" s="104"/>
      <c r="S3" s="104">
        <f>SUM(Q25-Q26)</f>
        <v>0</v>
      </c>
      <c r="T3" s="104"/>
      <c r="U3" s="104">
        <f>SUM(S25-S26)</f>
        <v>0</v>
      </c>
      <c r="V3" s="104"/>
      <c r="W3" s="104">
        <f>SUM(U25-U26)</f>
        <v>0</v>
      </c>
      <c r="X3" s="104"/>
      <c r="Y3" s="104">
        <f>SUM(W25-W26)</f>
        <v>0</v>
      </c>
      <c r="Z3" s="104"/>
      <c r="AA3" s="104">
        <f>SUM(Y25-Y26)</f>
        <v>0</v>
      </c>
      <c r="AB3" s="104"/>
      <c r="AC3" s="104">
        <f>SUM(AA25-AA26)</f>
        <v>0</v>
      </c>
      <c r="AD3" s="104"/>
      <c r="AE3" s="104">
        <f>SUM(AC25-AC26)</f>
        <v>0</v>
      </c>
      <c r="AF3" s="104"/>
      <c r="AG3" s="104">
        <f>SUM(AE25-AE26)</f>
        <v>0</v>
      </c>
      <c r="AH3" s="104"/>
      <c r="AI3" s="104">
        <f>SUM(AG25-AG26)</f>
        <v>0</v>
      </c>
      <c r="AJ3" s="104"/>
      <c r="AK3" s="104">
        <f>SUM(AI25-AI26)</f>
        <v>0</v>
      </c>
      <c r="AL3" s="104"/>
      <c r="AM3" s="104">
        <f>SUM(AK25-AK26)</f>
        <v>0</v>
      </c>
      <c r="AN3" s="104"/>
      <c r="AO3" s="105">
        <f>SUM(AM25-AM26)</f>
        <v>0</v>
      </c>
      <c r="AP3" s="105"/>
    </row>
    <row r="4" spans="2:42" x14ac:dyDescent="0.25">
      <c r="B4" s="57" t="s">
        <v>101</v>
      </c>
      <c r="C4" s="106"/>
      <c r="D4" s="106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8"/>
      <c r="AP4" s="108"/>
    </row>
    <row r="5" spans="2:42" x14ac:dyDescent="0.25">
      <c r="B5" s="57" t="s">
        <v>103</v>
      </c>
      <c r="C5" s="106"/>
      <c r="D5" s="106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8"/>
      <c r="AP5" s="108"/>
    </row>
    <row r="6" spans="2:42" x14ac:dyDescent="0.25">
      <c r="B6" s="18" t="s">
        <v>104</v>
      </c>
      <c r="C6" s="110"/>
      <c r="D6" s="110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2"/>
      <c r="AP6" s="112"/>
    </row>
    <row r="7" spans="2:42" ht="13" x14ac:dyDescent="0.3">
      <c r="B7" s="19" t="s">
        <v>48</v>
      </c>
      <c r="C7" s="113">
        <f>SUM(C3:C6)</f>
        <v>0</v>
      </c>
      <c r="D7" s="114"/>
      <c r="E7" s="114">
        <f t="shared" ref="E7" si="0">SUM(E3:E6)</f>
        <v>0</v>
      </c>
      <c r="F7" s="114"/>
      <c r="G7" s="114">
        <f t="shared" ref="G7" si="1">SUM(G3:G6)</f>
        <v>0</v>
      </c>
      <c r="H7" s="114"/>
      <c r="I7" s="114">
        <f t="shared" ref="I7" si="2">SUM(I3:I6)</f>
        <v>0</v>
      </c>
      <c r="J7" s="114"/>
      <c r="K7" s="114">
        <f t="shared" ref="K7" si="3">SUM(K3:K6)</f>
        <v>0</v>
      </c>
      <c r="L7" s="114"/>
      <c r="M7" s="114">
        <f t="shared" ref="M7" si="4">SUM(M3:M6)</f>
        <v>0</v>
      </c>
      <c r="N7" s="114"/>
      <c r="O7" s="114">
        <f t="shared" ref="O7" si="5">SUM(O3:O6)</f>
        <v>0</v>
      </c>
      <c r="P7" s="114"/>
      <c r="Q7" s="114">
        <f t="shared" ref="Q7" si="6">SUM(Q3:Q6)</f>
        <v>0</v>
      </c>
      <c r="R7" s="114"/>
      <c r="S7" s="114">
        <f t="shared" ref="S7" si="7">SUM(S3:S6)</f>
        <v>0</v>
      </c>
      <c r="T7" s="114"/>
      <c r="U7" s="114">
        <f t="shared" ref="U7" si="8">SUM(U3:U6)</f>
        <v>0</v>
      </c>
      <c r="V7" s="114"/>
      <c r="W7" s="114">
        <f t="shared" ref="W7" si="9">SUM(W3:W6)</f>
        <v>0</v>
      </c>
      <c r="X7" s="114"/>
      <c r="Y7" s="114">
        <f t="shared" ref="Y7" si="10">SUM(Y3:Y6)</f>
        <v>0</v>
      </c>
      <c r="Z7" s="114"/>
      <c r="AA7" s="114">
        <f t="shared" ref="AA7" si="11">SUM(AA3:AA6)</f>
        <v>0</v>
      </c>
      <c r="AB7" s="114"/>
      <c r="AC7" s="114">
        <f t="shared" ref="AC7" si="12">SUM(AC3:AC6)</f>
        <v>0</v>
      </c>
      <c r="AD7" s="114"/>
      <c r="AE7" s="114">
        <f t="shared" ref="AE7" si="13">SUM(AE3:AE6)</f>
        <v>0</v>
      </c>
      <c r="AF7" s="114"/>
      <c r="AG7" s="114">
        <f t="shared" ref="AG7" si="14">SUM(AG3:AG6)</f>
        <v>0</v>
      </c>
      <c r="AH7" s="114"/>
      <c r="AI7" s="114">
        <f t="shared" ref="AI7" si="15">SUM(AI3:AI6)</f>
        <v>0</v>
      </c>
      <c r="AJ7" s="114"/>
      <c r="AK7" s="114">
        <f t="shared" ref="AK7" si="16">SUM(AK3:AK6)</f>
        <v>0</v>
      </c>
      <c r="AL7" s="114"/>
      <c r="AM7" s="114">
        <f t="shared" ref="AM7" si="17">SUM(AM3:AM6)</f>
        <v>0</v>
      </c>
      <c r="AN7" s="114"/>
      <c r="AO7" s="114">
        <f t="shared" ref="AO7" si="18">SUM(AO3:AO6)</f>
        <v>0</v>
      </c>
      <c r="AP7" s="115"/>
    </row>
    <row r="8" spans="2:42" x14ac:dyDescent="0.25">
      <c r="B8" s="6" t="s">
        <v>1</v>
      </c>
      <c r="C8" s="106"/>
      <c r="D8" s="107"/>
      <c r="E8" s="116">
        <f>SUM(C8+C27-C28)</f>
        <v>0</v>
      </c>
      <c r="F8" s="116"/>
      <c r="G8" s="116">
        <f t="shared" ref="G8" si="19">SUM(E8+E27-E28)</f>
        <v>0</v>
      </c>
      <c r="H8" s="116"/>
      <c r="I8" s="116">
        <f t="shared" ref="I8" si="20">SUM(G8+G27-G28)</f>
        <v>0</v>
      </c>
      <c r="J8" s="116"/>
      <c r="K8" s="116">
        <f t="shared" ref="K8" si="21">SUM(I8+I27-I28)</f>
        <v>0</v>
      </c>
      <c r="L8" s="116"/>
      <c r="M8" s="116">
        <f t="shared" ref="M8" si="22">SUM(K8+K27-K28)</f>
        <v>0</v>
      </c>
      <c r="N8" s="116"/>
      <c r="O8" s="116">
        <f t="shared" ref="O8" si="23">SUM(M8+M27-M28)</f>
        <v>0</v>
      </c>
      <c r="P8" s="116"/>
      <c r="Q8" s="116">
        <f t="shared" ref="Q8" si="24">SUM(O8+O27-O28)</f>
        <v>0</v>
      </c>
      <c r="R8" s="116"/>
      <c r="S8" s="116">
        <f t="shared" ref="S8" si="25">SUM(Q8+Q27-Q28)</f>
        <v>0</v>
      </c>
      <c r="T8" s="116"/>
      <c r="U8" s="116">
        <f t="shared" ref="U8" si="26">SUM(S8+S27-S28)</f>
        <v>0</v>
      </c>
      <c r="V8" s="116"/>
      <c r="W8" s="116">
        <f t="shared" ref="W8" si="27">SUM(U8+U27-U28)</f>
        <v>0</v>
      </c>
      <c r="X8" s="116"/>
      <c r="Y8" s="116">
        <f t="shared" ref="Y8" si="28">SUM(W8+W27-W28)</f>
        <v>0</v>
      </c>
      <c r="Z8" s="116"/>
      <c r="AA8" s="116">
        <f t="shared" ref="AA8" si="29">SUM(Y8+Y27-Y28)</f>
        <v>0</v>
      </c>
      <c r="AB8" s="116"/>
      <c r="AC8" s="116">
        <f t="shared" ref="AC8" si="30">SUM(AA8+AA27-AA28)</f>
        <v>0</v>
      </c>
      <c r="AD8" s="116"/>
      <c r="AE8" s="116">
        <f t="shared" ref="AE8" si="31">SUM(AC8+AC27-AC28)</f>
        <v>0</v>
      </c>
      <c r="AF8" s="116"/>
      <c r="AG8" s="116">
        <f t="shared" ref="AG8" si="32">SUM(AE8+AE27-AE28)</f>
        <v>0</v>
      </c>
      <c r="AH8" s="116"/>
      <c r="AI8" s="116">
        <f t="shared" ref="AI8" si="33">SUM(AG8+AG27-AG28)</f>
        <v>0</v>
      </c>
      <c r="AJ8" s="116"/>
      <c r="AK8" s="116">
        <f t="shared" ref="AK8" si="34">SUM(AI8+AI27-AI28)</f>
        <v>0</v>
      </c>
      <c r="AL8" s="116"/>
      <c r="AM8" s="116">
        <f t="shared" ref="AM8" si="35">SUM(AK8+AK27-AK28)</f>
        <v>0</v>
      </c>
      <c r="AN8" s="116"/>
      <c r="AO8" s="116">
        <f t="shared" ref="AO8" si="36">SUM(AM8+AM27-AM28)</f>
        <v>0</v>
      </c>
      <c r="AP8" s="117"/>
    </row>
    <row r="9" spans="2:42" x14ac:dyDescent="0.25">
      <c r="B9" s="6" t="s">
        <v>2</v>
      </c>
      <c r="C9" s="106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8"/>
    </row>
    <row r="10" spans="2:42" ht="13" x14ac:dyDescent="0.3">
      <c r="B10" s="20" t="s">
        <v>3</v>
      </c>
      <c r="C10" s="118">
        <f>SUM(C7-SUM(C8:C9))</f>
        <v>0</v>
      </c>
      <c r="D10" s="119"/>
      <c r="E10" s="119">
        <f t="shared" ref="E10" si="37">SUM(E7-SUM(E8:E9))</f>
        <v>0</v>
      </c>
      <c r="F10" s="119"/>
      <c r="G10" s="119">
        <f t="shared" ref="G10" si="38">SUM(G7-SUM(G8:G9))</f>
        <v>0</v>
      </c>
      <c r="H10" s="119"/>
      <c r="I10" s="119">
        <f t="shared" ref="I10" si="39">SUM(I7-SUM(I8:I9))</f>
        <v>0</v>
      </c>
      <c r="J10" s="119"/>
      <c r="K10" s="119">
        <f t="shared" ref="K10" si="40">SUM(K7-SUM(K8:K9))</f>
        <v>0</v>
      </c>
      <c r="L10" s="119"/>
      <c r="M10" s="119">
        <f t="shared" ref="M10" si="41">SUM(M7-SUM(M8:M9))</f>
        <v>0</v>
      </c>
      <c r="N10" s="119"/>
      <c r="O10" s="119">
        <f t="shared" ref="O10" si="42">SUM(O7-SUM(O8:O9))</f>
        <v>0</v>
      </c>
      <c r="P10" s="119"/>
      <c r="Q10" s="119">
        <f t="shared" ref="Q10" si="43">SUM(Q7-SUM(Q8:Q9))</f>
        <v>0</v>
      </c>
      <c r="R10" s="119"/>
      <c r="S10" s="119">
        <f t="shared" ref="S10" si="44">SUM(S7-SUM(S8:S9))</f>
        <v>0</v>
      </c>
      <c r="T10" s="119"/>
      <c r="U10" s="119">
        <f t="shared" ref="U10" si="45">SUM(U7-SUM(U8:U9))</f>
        <v>0</v>
      </c>
      <c r="V10" s="119"/>
      <c r="W10" s="119">
        <f t="shared" ref="W10" si="46">SUM(W7-SUM(W8:W9))</f>
        <v>0</v>
      </c>
      <c r="X10" s="119"/>
      <c r="Y10" s="119">
        <f t="shared" ref="Y10" si="47">SUM(Y7-SUM(Y8:Y9))</f>
        <v>0</v>
      </c>
      <c r="Z10" s="119"/>
      <c r="AA10" s="119">
        <f t="shared" ref="AA10" si="48">SUM(AA7-SUM(AA8:AA9))</f>
        <v>0</v>
      </c>
      <c r="AB10" s="119"/>
      <c r="AC10" s="119">
        <f t="shared" ref="AC10" si="49">SUM(AC7-SUM(AC8:AC9))</f>
        <v>0</v>
      </c>
      <c r="AD10" s="119"/>
      <c r="AE10" s="119">
        <f t="shared" ref="AE10" si="50">SUM(AE7-SUM(AE8:AE9))</f>
        <v>0</v>
      </c>
      <c r="AF10" s="119"/>
      <c r="AG10" s="119">
        <f t="shared" ref="AG10" si="51">SUM(AG7-SUM(AG8:AG9))</f>
        <v>0</v>
      </c>
      <c r="AH10" s="119"/>
      <c r="AI10" s="119">
        <f t="shared" ref="AI10" si="52">SUM(AI7-SUM(AI8:AI9))</f>
        <v>0</v>
      </c>
      <c r="AJ10" s="119"/>
      <c r="AK10" s="119">
        <f t="shared" ref="AK10" si="53">SUM(AK7-SUM(AK8:AK9))</f>
        <v>0</v>
      </c>
      <c r="AL10" s="119"/>
      <c r="AM10" s="119">
        <f t="shared" ref="AM10" si="54">SUM(AM7-SUM(AM8:AM9))</f>
        <v>0</v>
      </c>
      <c r="AN10" s="119"/>
      <c r="AO10" s="119">
        <f t="shared" ref="AO10" si="55">SUM(AO7-SUM(AO8:AO9))</f>
        <v>0</v>
      </c>
      <c r="AP10" s="120"/>
    </row>
    <row r="11" spans="2:42" x14ac:dyDescent="0.25">
      <c r="B11" s="3" t="s">
        <v>4</v>
      </c>
      <c r="C11" s="21"/>
      <c r="D11" s="22"/>
      <c r="E11" s="23"/>
      <c r="F11" s="22"/>
      <c r="G11" s="23"/>
      <c r="H11" s="22"/>
      <c r="I11" s="23"/>
      <c r="J11" s="22"/>
      <c r="K11" s="23"/>
      <c r="L11" s="22"/>
      <c r="M11" s="23"/>
      <c r="N11" s="22"/>
      <c r="O11" s="23"/>
      <c r="P11" s="22"/>
      <c r="Q11" s="23"/>
      <c r="R11" s="22"/>
      <c r="S11" s="23"/>
      <c r="T11" s="22"/>
      <c r="U11" s="23"/>
      <c r="V11" s="22"/>
      <c r="W11" s="23"/>
      <c r="X11" s="22"/>
      <c r="Y11" s="23"/>
      <c r="Z11" s="22"/>
      <c r="AA11" s="23"/>
      <c r="AB11" s="22"/>
      <c r="AC11" s="23"/>
      <c r="AD11" s="22"/>
      <c r="AE11" s="23"/>
      <c r="AF11" s="22"/>
      <c r="AG11" s="23"/>
      <c r="AH11" s="22"/>
      <c r="AI11" s="23"/>
      <c r="AJ11" s="22"/>
      <c r="AK11" s="23"/>
      <c r="AL11" s="22"/>
      <c r="AM11" s="23"/>
      <c r="AN11" s="22"/>
      <c r="AO11" s="23"/>
      <c r="AP11" s="24"/>
    </row>
    <row r="12" spans="2:42" x14ac:dyDescent="0.25">
      <c r="B12" s="4"/>
      <c r="C12" s="21"/>
      <c r="D12" s="22"/>
      <c r="E12" s="23"/>
      <c r="F12" s="22"/>
      <c r="G12" s="23"/>
      <c r="H12" s="22"/>
      <c r="I12" s="23"/>
      <c r="J12" s="22"/>
      <c r="K12" s="23"/>
      <c r="L12" s="22"/>
      <c r="M12" s="23"/>
      <c r="N12" s="22"/>
      <c r="O12" s="23"/>
      <c r="P12" s="22"/>
      <c r="Q12" s="23"/>
      <c r="R12" s="22"/>
      <c r="S12" s="23"/>
      <c r="T12" s="22"/>
      <c r="U12" s="23"/>
      <c r="V12" s="22"/>
      <c r="W12" s="23"/>
      <c r="X12" s="22"/>
      <c r="Y12" s="23"/>
      <c r="Z12" s="22"/>
      <c r="AA12" s="23"/>
      <c r="AB12" s="22"/>
      <c r="AC12" s="23"/>
      <c r="AD12" s="22"/>
      <c r="AE12" s="23"/>
      <c r="AF12" s="22"/>
      <c r="AG12" s="23"/>
      <c r="AH12" s="22"/>
      <c r="AI12" s="23"/>
      <c r="AJ12" s="22"/>
      <c r="AK12" s="23"/>
      <c r="AL12" s="22"/>
      <c r="AM12" s="23"/>
      <c r="AN12" s="22"/>
      <c r="AO12" s="23"/>
      <c r="AP12" s="24"/>
    </row>
    <row r="13" spans="2:42" x14ac:dyDescent="0.25">
      <c r="B13" s="4"/>
      <c r="C13" s="21"/>
      <c r="D13" s="22"/>
      <c r="E13" s="23"/>
      <c r="F13" s="22"/>
      <c r="G13" s="23"/>
      <c r="H13" s="22"/>
      <c r="I13" s="23"/>
      <c r="J13" s="22"/>
      <c r="K13" s="23"/>
      <c r="L13" s="22"/>
      <c r="M13" s="23"/>
      <c r="N13" s="22"/>
      <c r="O13" s="23"/>
      <c r="P13" s="22"/>
      <c r="Q13" s="23"/>
      <c r="R13" s="22"/>
      <c r="S13" s="23"/>
      <c r="T13" s="22"/>
      <c r="U13" s="23"/>
      <c r="V13" s="22"/>
      <c r="W13" s="23"/>
      <c r="X13" s="22"/>
      <c r="Y13" s="23"/>
      <c r="Z13" s="22"/>
      <c r="AA13" s="23"/>
      <c r="AB13" s="22"/>
      <c r="AC13" s="23"/>
      <c r="AD13" s="22"/>
      <c r="AE13" s="23"/>
      <c r="AF13" s="22"/>
      <c r="AG13" s="23"/>
      <c r="AH13" s="22"/>
      <c r="AI13" s="23"/>
      <c r="AJ13" s="22"/>
      <c r="AK13" s="23"/>
      <c r="AL13" s="22"/>
      <c r="AM13" s="23"/>
      <c r="AN13" s="22"/>
      <c r="AO13" s="23"/>
      <c r="AP13" s="24"/>
    </row>
    <row r="14" spans="2:42" x14ac:dyDescent="0.25">
      <c r="B14" s="4"/>
      <c r="C14" s="21"/>
      <c r="D14" s="22"/>
      <c r="E14" s="23"/>
      <c r="F14" s="22"/>
      <c r="G14" s="23"/>
      <c r="H14" s="22"/>
      <c r="I14" s="23"/>
      <c r="J14" s="22"/>
      <c r="K14" s="23"/>
      <c r="L14" s="22"/>
      <c r="M14" s="23"/>
      <c r="N14" s="22"/>
      <c r="O14" s="23"/>
      <c r="P14" s="22"/>
      <c r="Q14" s="23"/>
      <c r="R14" s="22"/>
      <c r="S14" s="23"/>
      <c r="T14" s="22"/>
      <c r="U14" s="23"/>
      <c r="V14" s="22"/>
      <c r="W14" s="23"/>
      <c r="X14" s="22"/>
      <c r="Y14" s="23"/>
      <c r="Z14" s="22"/>
      <c r="AA14" s="23"/>
      <c r="AB14" s="22"/>
      <c r="AC14" s="23"/>
      <c r="AD14" s="22"/>
      <c r="AE14" s="23"/>
      <c r="AF14" s="22"/>
      <c r="AG14" s="23"/>
      <c r="AH14" s="22"/>
      <c r="AI14" s="23"/>
      <c r="AJ14" s="22"/>
      <c r="AK14" s="23"/>
      <c r="AL14" s="22"/>
      <c r="AM14" s="23"/>
      <c r="AN14" s="22"/>
      <c r="AO14" s="23"/>
      <c r="AP14" s="24"/>
    </row>
    <row r="15" spans="2:42" x14ac:dyDescent="0.25">
      <c r="B15" s="5"/>
      <c r="C15" s="25"/>
      <c r="D15" s="26"/>
      <c r="E15" s="27"/>
      <c r="F15" s="26"/>
      <c r="G15" s="27"/>
      <c r="H15" s="26"/>
      <c r="I15" s="27"/>
      <c r="J15" s="26"/>
      <c r="K15" s="27"/>
      <c r="L15" s="26"/>
      <c r="M15" s="27"/>
      <c r="N15" s="26"/>
      <c r="O15" s="27"/>
      <c r="P15" s="26"/>
      <c r="Q15" s="27"/>
      <c r="R15" s="26"/>
      <c r="S15" s="27"/>
      <c r="T15" s="26"/>
      <c r="U15" s="27"/>
      <c r="V15" s="26"/>
      <c r="W15" s="27"/>
      <c r="X15" s="26"/>
      <c r="Y15" s="27"/>
      <c r="Z15" s="26"/>
      <c r="AA15" s="27"/>
      <c r="AB15" s="26"/>
      <c r="AC15" s="27"/>
      <c r="AD15" s="26"/>
      <c r="AE15" s="27"/>
      <c r="AF15" s="26"/>
      <c r="AG15" s="27"/>
      <c r="AH15" s="26"/>
      <c r="AI15" s="27"/>
      <c r="AJ15" s="26"/>
      <c r="AK15" s="27"/>
      <c r="AL15" s="26"/>
      <c r="AM15" s="27"/>
      <c r="AN15" s="26"/>
      <c r="AO15" s="27"/>
      <c r="AP15" s="28"/>
    </row>
    <row r="16" spans="2:42" x14ac:dyDescent="0.25">
      <c r="B16" s="3" t="s">
        <v>5</v>
      </c>
      <c r="C16" s="21"/>
      <c r="D16" s="22"/>
      <c r="E16" s="23"/>
      <c r="F16" s="22"/>
      <c r="G16" s="23"/>
      <c r="H16" s="22"/>
      <c r="I16" s="23"/>
      <c r="J16" s="22"/>
      <c r="K16" s="23"/>
      <c r="L16" s="22"/>
      <c r="M16" s="23"/>
      <c r="N16" s="22"/>
      <c r="O16" s="23"/>
      <c r="P16" s="22"/>
      <c r="Q16" s="23"/>
      <c r="R16" s="22"/>
      <c r="S16" s="23"/>
      <c r="T16" s="22"/>
      <c r="U16" s="23"/>
      <c r="V16" s="22"/>
      <c r="W16" s="23"/>
      <c r="X16" s="22"/>
      <c r="Y16" s="23"/>
      <c r="Z16" s="22"/>
      <c r="AA16" s="23"/>
      <c r="AB16" s="22"/>
      <c r="AC16" s="23"/>
      <c r="AD16" s="22"/>
      <c r="AE16" s="23"/>
      <c r="AF16" s="22"/>
      <c r="AG16" s="23"/>
      <c r="AH16" s="22"/>
      <c r="AI16" s="23"/>
      <c r="AJ16" s="22"/>
      <c r="AK16" s="23"/>
      <c r="AL16" s="22"/>
      <c r="AM16" s="23"/>
      <c r="AN16" s="22"/>
      <c r="AO16" s="23"/>
      <c r="AP16" s="24"/>
    </row>
    <row r="17" spans="2:44" x14ac:dyDescent="0.25">
      <c r="B17" s="4"/>
      <c r="C17" s="21"/>
      <c r="D17" s="22"/>
      <c r="E17" s="23"/>
      <c r="F17" s="22"/>
      <c r="G17" s="23"/>
      <c r="H17" s="22"/>
      <c r="I17" s="23"/>
      <c r="J17" s="22"/>
      <c r="K17" s="23"/>
      <c r="L17" s="22"/>
      <c r="M17" s="23"/>
      <c r="N17" s="22"/>
      <c r="O17" s="23"/>
      <c r="P17" s="22"/>
      <c r="Q17" s="23"/>
      <c r="R17" s="22"/>
      <c r="S17" s="23"/>
      <c r="T17" s="22"/>
      <c r="U17" s="23"/>
      <c r="V17" s="22"/>
      <c r="W17" s="23"/>
      <c r="X17" s="22"/>
      <c r="Y17" s="23"/>
      <c r="Z17" s="22"/>
      <c r="AA17" s="23"/>
      <c r="AB17" s="22"/>
      <c r="AC17" s="23"/>
      <c r="AD17" s="22"/>
      <c r="AE17" s="23"/>
      <c r="AF17" s="22"/>
      <c r="AG17" s="23"/>
      <c r="AH17" s="22"/>
      <c r="AI17" s="23"/>
      <c r="AJ17" s="22"/>
      <c r="AK17" s="23"/>
      <c r="AL17" s="22"/>
      <c r="AM17" s="23"/>
      <c r="AN17" s="22"/>
      <c r="AO17" s="23"/>
      <c r="AP17" s="24"/>
    </row>
    <row r="18" spans="2:44" x14ac:dyDescent="0.25">
      <c r="B18" s="4"/>
      <c r="C18" s="21"/>
      <c r="D18" s="22"/>
      <c r="E18" s="23"/>
      <c r="F18" s="22"/>
      <c r="G18" s="23"/>
      <c r="H18" s="22"/>
      <c r="I18" s="23"/>
      <c r="J18" s="22"/>
      <c r="K18" s="23"/>
      <c r="L18" s="22"/>
      <c r="M18" s="23"/>
      <c r="N18" s="22"/>
      <c r="O18" s="23"/>
      <c r="P18" s="22"/>
      <c r="Q18" s="23"/>
      <c r="R18" s="22"/>
      <c r="S18" s="23"/>
      <c r="T18" s="22"/>
      <c r="U18" s="23"/>
      <c r="V18" s="22"/>
      <c r="W18" s="23"/>
      <c r="X18" s="22"/>
      <c r="Y18" s="23"/>
      <c r="Z18" s="22"/>
      <c r="AA18" s="23"/>
      <c r="AB18" s="22"/>
      <c r="AC18" s="23"/>
      <c r="AD18" s="22"/>
      <c r="AE18" s="23"/>
      <c r="AF18" s="22"/>
      <c r="AG18" s="23"/>
      <c r="AH18" s="22"/>
      <c r="AI18" s="23"/>
      <c r="AJ18" s="22"/>
      <c r="AK18" s="23"/>
      <c r="AL18" s="22"/>
      <c r="AM18" s="23"/>
      <c r="AN18" s="22"/>
      <c r="AO18" s="23"/>
      <c r="AP18" s="24"/>
    </row>
    <row r="19" spans="2:44" x14ac:dyDescent="0.25">
      <c r="B19" s="4"/>
      <c r="C19" s="21"/>
      <c r="D19" s="22"/>
      <c r="E19" s="23"/>
      <c r="F19" s="22"/>
      <c r="G19" s="23"/>
      <c r="H19" s="22"/>
      <c r="I19" s="23"/>
      <c r="J19" s="22"/>
      <c r="K19" s="23"/>
      <c r="L19" s="22"/>
      <c r="M19" s="23"/>
      <c r="N19" s="22"/>
      <c r="O19" s="23"/>
      <c r="P19" s="22"/>
      <c r="Q19" s="23"/>
      <c r="R19" s="22"/>
      <c r="S19" s="23"/>
      <c r="T19" s="22"/>
      <c r="U19" s="23"/>
      <c r="V19" s="22"/>
      <c r="W19" s="23"/>
      <c r="X19" s="22"/>
      <c r="Y19" s="23"/>
      <c r="Z19" s="22"/>
      <c r="AA19" s="23"/>
      <c r="AB19" s="22"/>
      <c r="AC19" s="23"/>
      <c r="AD19" s="22"/>
      <c r="AE19" s="23"/>
      <c r="AF19" s="22"/>
      <c r="AG19" s="23"/>
      <c r="AH19" s="22"/>
      <c r="AI19" s="23"/>
      <c r="AJ19" s="22"/>
      <c r="AK19" s="23"/>
      <c r="AL19" s="22"/>
      <c r="AM19" s="23"/>
      <c r="AN19" s="22"/>
      <c r="AO19" s="23"/>
      <c r="AP19" s="24"/>
    </row>
    <row r="20" spans="2:44" x14ac:dyDescent="0.25">
      <c r="B20" s="4"/>
      <c r="C20" s="21"/>
      <c r="D20" s="22"/>
      <c r="E20" s="23"/>
      <c r="F20" s="22"/>
      <c r="G20" s="23"/>
      <c r="H20" s="22"/>
      <c r="I20" s="23"/>
      <c r="J20" s="22"/>
      <c r="K20" s="23"/>
      <c r="L20" s="22"/>
      <c r="M20" s="23"/>
      <c r="N20" s="22"/>
      <c r="O20" s="23"/>
      <c r="P20" s="22"/>
      <c r="Q20" s="23"/>
      <c r="R20" s="22"/>
      <c r="S20" s="23"/>
      <c r="T20" s="22"/>
      <c r="U20" s="23"/>
      <c r="V20" s="22"/>
      <c r="W20" s="23"/>
      <c r="X20" s="22"/>
      <c r="Y20" s="23"/>
      <c r="Z20" s="22"/>
      <c r="AA20" s="23"/>
      <c r="AB20" s="22"/>
      <c r="AC20" s="23"/>
      <c r="AD20" s="22"/>
      <c r="AE20" s="23"/>
      <c r="AF20" s="22"/>
      <c r="AG20" s="23"/>
      <c r="AH20" s="22"/>
      <c r="AI20" s="23"/>
      <c r="AJ20" s="22"/>
      <c r="AK20" s="23"/>
      <c r="AL20" s="22"/>
      <c r="AM20" s="23"/>
      <c r="AN20" s="22"/>
      <c r="AO20" s="23"/>
      <c r="AP20" s="24"/>
    </row>
    <row r="21" spans="2:44" x14ac:dyDescent="0.25">
      <c r="B21" s="4"/>
      <c r="C21" s="21"/>
      <c r="D21" s="22"/>
      <c r="E21" s="23"/>
      <c r="F21" s="22"/>
      <c r="G21" s="23"/>
      <c r="H21" s="22"/>
      <c r="I21" s="23"/>
      <c r="J21" s="22"/>
      <c r="K21" s="23"/>
      <c r="L21" s="22"/>
      <c r="M21" s="23"/>
      <c r="N21" s="22"/>
      <c r="O21" s="23"/>
      <c r="P21" s="22"/>
      <c r="Q21" s="23"/>
      <c r="R21" s="22"/>
      <c r="S21" s="23"/>
      <c r="T21" s="22"/>
      <c r="U21" s="23"/>
      <c r="V21" s="22"/>
      <c r="W21" s="23"/>
      <c r="X21" s="22"/>
      <c r="Y21" s="23"/>
      <c r="Z21" s="22"/>
      <c r="AA21" s="23"/>
      <c r="AB21" s="22"/>
      <c r="AC21" s="23"/>
      <c r="AD21" s="22"/>
      <c r="AE21" s="23"/>
      <c r="AF21" s="22"/>
      <c r="AG21" s="23"/>
      <c r="AH21" s="22"/>
      <c r="AI21" s="23"/>
      <c r="AJ21" s="22"/>
      <c r="AK21" s="23"/>
      <c r="AL21" s="22"/>
      <c r="AM21" s="23"/>
      <c r="AN21" s="22"/>
      <c r="AO21" s="23"/>
      <c r="AP21" s="24"/>
    </row>
    <row r="22" spans="2:44" x14ac:dyDescent="0.25">
      <c r="B22" s="59" t="s">
        <v>105</v>
      </c>
      <c r="C22" s="21"/>
      <c r="D22" s="22"/>
      <c r="E22" s="23"/>
      <c r="F22" s="22"/>
      <c r="G22" s="23"/>
      <c r="H22" s="22"/>
      <c r="I22" s="23"/>
      <c r="J22" s="22"/>
      <c r="K22" s="23"/>
      <c r="L22" s="22"/>
      <c r="M22" s="23"/>
      <c r="N22" s="22"/>
      <c r="O22" s="23"/>
      <c r="P22" s="22"/>
      <c r="Q22" s="23"/>
      <c r="R22" s="22"/>
      <c r="S22" s="23"/>
      <c r="T22" s="22"/>
      <c r="U22" s="23"/>
      <c r="V22" s="22"/>
      <c r="W22" s="23"/>
      <c r="X22" s="22"/>
      <c r="Y22" s="23"/>
      <c r="Z22" s="22"/>
      <c r="AA22" s="23"/>
      <c r="AB22" s="22"/>
      <c r="AC22" s="23"/>
      <c r="AD22" s="22"/>
      <c r="AE22" s="23"/>
      <c r="AF22" s="22"/>
      <c r="AG22" s="23"/>
      <c r="AH22" s="22"/>
      <c r="AI22" s="23"/>
      <c r="AJ22" s="22"/>
      <c r="AK22" s="23"/>
      <c r="AL22" s="22"/>
      <c r="AM22" s="23"/>
      <c r="AN22" s="22"/>
      <c r="AO22" s="23"/>
      <c r="AP22" s="24"/>
    </row>
    <row r="23" spans="2:44" x14ac:dyDescent="0.25">
      <c r="B23" s="59" t="s">
        <v>116</v>
      </c>
      <c r="C23" s="21"/>
      <c r="D23" s="22"/>
      <c r="E23" s="23"/>
      <c r="F23" s="22"/>
      <c r="G23" s="23"/>
      <c r="H23" s="22"/>
      <c r="I23" s="23"/>
      <c r="J23" s="22"/>
      <c r="K23" s="23"/>
      <c r="L23" s="22"/>
      <c r="M23" s="23"/>
      <c r="N23" s="22"/>
      <c r="O23" s="23"/>
      <c r="P23" s="22"/>
      <c r="Q23" s="23"/>
      <c r="R23" s="22"/>
      <c r="S23" s="23"/>
      <c r="T23" s="22"/>
      <c r="U23" s="23"/>
      <c r="V23" s="22"/>
      <c r="W23" s="23"/>
      <c r="X23" s="22"/>
      <c r="Y23" s="23"/>
      <c r="Z23" s="22"/>
      <c r="AA23" s="23"/>
      <c r="AB23" s="22"/>
      <c r="AC23" s="23"/>
      <c r="AD23" s="22"/>
      <c r="AE23" s="23"/>
      <c r="AF23" s="22"/>
      <c r="AG23" s="23"/>
      <c r="AH23" s="22"/>
      <c r="AI23" s="23"/>
      <c r="AJ23" s="22"/>
      <c r="AK23" s="23"/>
      <c r="AL23" s="22"/>
      <c r="AM23" s="23"/>
      <c r="AN23" s="22"/>
      <c r="AO23" s="23"/>
      <c r="AP23" s="24"/>
    </row>
    <row r="24" spans="2:44" x14ac:dyDescent="0.25">
      <c r="B24" s="5"/>
      <c r="C24" s="25"/>
      <c r="D24" s="26"/>
      <c r="E24" s="27"/>
      <c r="F24" s="26"/>
      <c r="G24" s="27"/>
      <c r="H24" s="26"/>
      <c r="I24" s="27"/>
      <c r="J24" s="26"/>
      <c r="K24" s="27"/>
      <c r="L24" s="26"/>
      <c r="M24" s="27"/>
      <c r="N24" s="26"/>
      <c r="O24" s="27"/>
      <c r="P24" s="26"/>
      <c r="Q24" s="27"/>
      <c r="R24" s="26"/>
      <c r="S24" s="27"/>
      <c r="T24" s="26"/>
      <c r="U24" s="27"/>
      <c r="V24" s="26"/>
      <c r="W24" s="27"/>
      <c r="X24" s="26"/>
      <c r="Y24" s="27"/>
      <c r="Z24" s="26"/>
      <c r="AA24" s="27"/>
      <c r="AB24" s="26"/>
      <c r="AC24" s="27"/>
      <c r="AD24" s="26"/>
      <c r="AE24" s="27"/>
      <c r="AF24" s="26"/>
      <c r="AG24" s="27"/>
      <c r="AH24" s="26"/>
      <c r="AI24" s="27"/>
      <c r="AJ24" s="26"/>
      <c r="AK24" s="27"/>
      <c r="AL24" s="26"/>
      <c r="AM24" s="27"/>
      <c r="AN24" s="26"/>
      <c r="AO24" s="27"/>
      <c r="AP24" s="28"/>
    </row>
    <row r="25" spans="2:44" ht="13" x14ac:dyDescent="0.3">
      <c r="B25" s="16" t="s">
        <v>6</v>
      </c>
      <c r="C25" s="121">
        <f>SUM(C10-SUM(C11:C24))</f>
        <v>0</v>
      </c>
      <c r="D25" s="122"/>
      <c r="E25" s="122">
        <f t="shared" ref="E25" si="56">SUM(E10-SUM(E11:E24))</f>
        <v>0</v>
      </c>
      <c r="F25" s="122"/>
      <c r="G25" s="122">
        <f t="shared" ref="G25" si="57">SUM(G10-SUM(G11:G24))</f>
        <v>0</v>
      </c>
      <c r="H25" s="122"/>
      <c r="I25" s="122">
        <f t="shared" ref="I25" si="58">SUM(I10-SUM(I11:I24))</f>
        <v>0</v>
      </c>
      <c r="J25" s="122"/>
      <c r="K25" s="122">
        <f t="shared" ref="K25" si="59">SUM(K10-SUM(K11:K24))</f>
        <v>0</v>
      </c>
      <c r="L25" s="122"/>
      <c r="M25" s="122">
        <f t="shared" ref="M25" si="60">SUM(M10-SUM(M11:M24))</f>
        <v>0</v>
      </c>
      <c r="N25" s="122"/>
      <c r="O25" s="122">
        <f t="shared" ref="O25" si="61">SUM(O10-SUM(O11:O24))</f>
        <v>0</v>
      </c>
      <c r="P25" s="122"/>
      <c r="Q25" s="122">
        <f t="shared" ref="Q25" si="62">SUM(Q10-SUM(Q11:Q24))</f>
        <v>0</v>
      </c>
      <c r="R25" s="122"/>
      <c r="S25" s="122">
        <f t="shared" ref="S25" si="63">SUM(S10-SUM(S11:S24))</f>
        <v>0</v>
      </c>
      <c r="T25" s="122"/>
      <c r="U25" s="122">
        <f t="shared" ref="U25" si="64">SUM(U10-SUM(U11:U24))</f>
        <v>0</v>
      </c>
      <c r="V25" s="122"/>
      <c r="W25" s="122">
        <f t="shared" ref="W25" si="65">SUM(W10-SUM(W11:W24))</f>
        <v>0</v>
      </c>
      <c r="X25" s="122"/>
      <c r="Y25" s="122">
        <f t="shared" ref="Y25" si="66">SUM(Y10-SUM(Y11:Y24))</f>
        <v>0</v>
      </c>
      <c r="Z25" s="122"/>
      <c r="AA25" s="122">
        <f t="shared" ref="AA25" si="67">SUM(AA10-SUM(AA11:AA24))</f>
        <v>0</v>
      </c>
      <c r="AB25" s="122"/>
      <c r="AC25" s="122">
        <f t="shared" ref="AC25" si="68">SUM(AC10-SUM(AC11:AC24))</f>
        <v>0</v>
      </c>
      <c r="AD25" s="122"/>
      <c r="AE25" s="122">
        <f t="shared" ref="AE25" si="69">SUM(AE10-SUM(AE11:AE24))</f>
        <v>0</v>
      </c>
      <c r="AF25" s="122"/>
      <c r="AG25" s="122">
        <f t="shared" ref="AG25" si="70">SUM(AG10-SUM(AG11:AG24))</f>
        <v>0</v>
      </c>
      <c r="AH25" s="122"/>
      <c r="AI25" s="122">
        <f t="shared" ref="AI25" si="71">SUM(AI10-SUM(AI11:AI24))</f>
        <v>0</v>
      </c>
      <c r="AJ25" s="122"/>
      <c r="AK25" s="122">
        <f t="shared" ref="AK25" si="72">SUM(AK10-SUM(AK11:AK24))</f>
        <v>0</v>
      </c>
      <c r="AL25" s="122"/>
      <c r="AM25" s="122">
        <f t="shared" ref="AM25" si="73">SUM(AM10-SUM(AM11:AM24))</f>
        <v>0</v>
      </c>
      <c r="AN25" s="122"/>
      <c r="AO25" s="122">
        <f t="shared" ref="AO25" si="74">SUM(AO10-SUM(AO11:AO24))</f>
        <v>0</v>
      </c>
      <c r="AP25" s="123"/>
    </row>
    <row r="26" spans="2:44" x14ac:dyDescent="0.25">
      <c r="B26" s="17" t="s">
        <v>49</v>
      </c>
      <c r="C26" s="106"/>
      <c r="D26" s="106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8"/>
      <c r="AP26" s="108"/>
    </row>
    <row r="27" spans="2:44" x14ac:dyDescent="0.25">
      <c r="B27" s="6" t="s">
        <v>7</v>
      </c>
      <c r="C27" s="106"/>
      <c r="D27" s="106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8"/>
      <c r="AP27" s="108"/>
    </row>
    <row r="28" spans="2:44" ht="13" thickBot="1" x14ac:dyDescent="0.3">
      <c r="B28" s="60" t="s">
        <v>8</v>
      </c>
      <c r="C28" s="124"/>
      <c r="D28" s="124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6"/>
      <c r="AP28" s="126"/>
    </row>
    <row r="29" spans="2:44" ht="17.899999999999999" customHeight="1" thickBot="1" x14ac:dyDescent="0.3"/>
    <row r="30" spans="2:44" ht="25.4" customHeight="1" thickBot="1" x14ac:dyDescent="0.3">
      <c r="B30" s="7" t="s">
        <v>9</v>
      </c>
      <c r="C30" s="132" t="s">
        <v>70</v>
      </c>
      <c r="D30" s="132"/>
      <c r="E30" s="133" t="s">
        <v>71</v>
      </c>
      <c r="F30" s="133"/>
      <c r="G30" s="134" t="s">
        <v>72</v>
      </c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6"/>
      <c r="AB30" s="31"/>
      <c r="AC30" s="31"/>
      <c r="AD30" s="31"/>
      <c r="AE30" s="31"/>
      <c r="AF30" s="31"/>
      <c r="AG30" s="33"/>
      <c r="AH30" s="33"/>
      <c r="AI30" s="34"/>
      <c r="AJ30" s="34"/>
      <c r="AK30" s="8"/>
      <c r="AL30" s="8"/>
      <c r="AM30" s="8"/>
      <c r="AN30" s="8"/>
      <c r="AO30" s="8"/>
      <c r="AP30" s="8"/>
    </row>
    <row r="31" spans="2:44" ht="13" customHeight="1" x14ac:dyDescent="0.3">
      <c r="B31" s="9" t="s">
        <v>10</v>
      </c>
      <c r="C31" s="127">
        <v>1</v>
      </c>
      <c r="D31" s="127"/>
      <c r="E31" s="128">
        <v>1</v>
      </c>
      <c r="F31" s="128"/>
      <c r="G31" s="129" t="s">
        <v>51</v>
      </c>
      <c r="H31" s="129"/>
      <c r="I31" s="130" t="s">
        <v>56</v>
      </c>
      <c r="J31" s="130"/>
      <c r="K31" s="130" t="s">
        <v>58</v>
      </c>
      <c r="L31" s="130"/>
      <c r="M31" s="131" t="s">
        <v>87</v>
      </c>
      <c r="N31" s="131"/>
      <c r="O31" s="130" t="s">
        <v>88</v>
      </c>
      <c r="P31" s="130"/>
      <c r="Q31" s="95" t="s">
        <v>117</v>
      </c>
      <c r="R31" s="137"/>
      <c r="T31" s="177" t="b">
        <v>0</v>
      </c>
      <c r="V31" s="176" t="s">
        <v>188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R31" s="38"/>
    </row>
    <row r="32" spans="2:44" ht="13" customHeight="1" x14ac:dyDescent="0.3">
      <c r="B32" s="10" t="s">
        <v>11</v>
      </c>
      <c r="C32" s="90">
        <v>0</v>
      </c>
      <c r="D32" s="90"/>
      <c r="E32" s="88">
        <v>0</v>
      </c>
      <c r="F32" s="88"/>
      <c r="G32" s="138" t="s">
        <v>52</v>
      </c>
      <c r="H32" s="138"/>
      <c r="I32" s="95" t="s">
        <v>57</v>
      </c>
      <c r="J32" s="95"/>
      <c r="K32" s="95" t="s">
        <v>118</v>
      </c>
      <c r="L32" s="95"/>
      <c r="M32" s="95" t="s">
        <v>119</v>
      </c>
      <c r="N32" s="95"/>
      <c r="O32" s="95"/>
      <c r="P32" s="95"/>
      <c r="Q32" s="95"/>
      <c r="R32" s="137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</row>
    <row r="33" spans="2:44" ht="13.4" customHeight="1" x14ac:dyDescent="0.3">
      <c r="B33" s="10" t="s">
        <v>12</v>
      </c>
      <c r="C33" s="90">
        <v>0</v>
      </c>
      <c r="D33" s="90"/>
      <c r="E33" s="88">
        <v>0</v>
      </c>
      <c r="F33" s="88"/>
      <c r="G33" s="138" t="s">
        <v>52</v>
      </c>
      <c r="H33" s="138"/>
      <c r="I33" s="95" t="s">
        <v>57</v>
      </c>
      <c r="J33" s="95"/>
      <c r="K33" s="95" t="s">
        <v>118</v>
      </c>
      <c r="L33" s="95"/>
      <c r="M33" s="95"/>
      <c r="N33" s="95"/>
      <c r="O33" s="95"/>
      <c r="P33" s="95"/>
      <c r="Q33" s="95"/>
      <c r="R33" s="137"/>
      <c r="AB33" s="30"/>
      <c r="AC33" s="30"/>
      <c r="AD33" s="30"/>
      <c r="AE33" s="30"/>
      <c r="AF33" s="30"/>
      <c r="AG33" s="35"/>
      <c r="AH33" s="35"/>
      <c r="AI33" s="36"/>
      <c r="AJ33" s="36"/>
      <c r="AK33" s="37"/>
      <c r="AL33" s="37"/>
      <c r="AM33" s="37"/>
      <c r="AN33" s="37"/>
      <c r="AO33" s="37"/>
      <c r="AP33" s="37"/>
    </row>
    <row r="34" spans="2:44" ht="13" customHeight="1" x14ac:dyDescent="0.3">
      <c r="B34" s="10" t="s">
        <v>14</v>
      </c>
      <c r="C34" s="90">
        <v>0</v>
      </c>
      <c r="D34" s="90"/>
      <c r="E34" s="88">
        <v>0</v>
      </c>
      <c r="F34" s="88"/>
      <c r="G34" s="138" t="s">
        <v>54</v>
      </c>
      <c r="H34" s="138"/>
      <c r="I34" s="95" t="s">
        <v>120</v>
      </c>
      <c r="J34" s="138"/>
      <c r="K34" s="95" t="s">
        <v>56</v>
      </c>
      <c r="L34" s="95"/>
      <c r="M34" s="95"/>
      <c r="N34" s="95"/>
      <c r="O34" s="95"/>
      <c r="P34" s="95"/>
      <c r="Q34" s="95"/>
      <c r="R34" s="137"/>
      <c r="AB34" s="30"/>
      <c r="AC34" s="30"/>
      <c r="AD34" s="30"/>
      <c r="AE34" s="30"/>
      <c r="AF34" s="30"/>
      <c r="AG34" s="35"/>
      <c r="AH34" s="35"/>
      <c r="AI34" s="36"/>
      <c r="AJ34" s="36"/>
      <c r="AK34" s="37"/>
      <c r="AL34" s="37"/>
      <c r="AM34" s="37"/>
      <c r="AN34" s="37"/>
      <c r="AO34" s="37"/>
      <c r="AP34" s="37"/>
    </row>
    <row r="35" spans="2:44" ht="13" customHeight="1" x14ac:dyDescent="0.3">
      <c r="B35" s="10" t="s">
        <v>16</v>
      </c>
      <c r="C35" s="90">
        <v>1</v>
      </c>
      <c r="D35" s="90"/>
      <c r="E35" s="88">
        <v>1</v>
      </c>
      <c r="F35" s="88"/>
      <c r="G35" s="138" t="s">
        <v>55</v>
      </c>
      <c r="H35" s="138"/>
      <c r="I35" s="95" t="s">
        <v>121</v>
      </c>
      <c r="J35" s="95"/>
      <c r="K35" s="95" t="s">
        <v>122</v>
      </c>
      <c r="L35" s="95"/>
      <c r="M35" s="95" t="s">
        <v>123</v>
      </c>
      <c r="N35" s="95"/>
      <c r="O35" s="95" t="s">
        <v>124</v>
      </c>
      <c r="P35" s="95"/>
      <c r="Q35" s="95" t="s">
        <v>125</v>
      </c>
      <c r="R35" s="137"/>
      <c r="AB35" s="30"/>
      <c r="AC35" s="30"/>
      <c r="AD35" s="30"/>
      <c r="AE35" s="30"/>
      <c r="AF35" s="30"/>
      <c r="AG35" s="35"/>
      <c r="AH35" s="35"/>
      <c r="AI35" s="36"/>
      <c r="AJ35" s="36"/>
      <c r="AK35" s="37"/>
      <c r="AL35" s="37"/>
      <c r="AM35" s="37"/>
      <c r="AN35" s="37"/>
      <c r="AO35" s="37"/>
      <c r="AP35" s="37"/>
    </row>
    <row r="36" spans="2:44" ht="13" customHeight="1" x14ac:dyDescent="0.3">
      <c r="B36" s="13" t="s">
        <v>13</v>
      </c>
      <c r="C36" s="84">
        <v>0</v>
      </c>
      <c r="D36" s="84"/>
      <c r="E36" s="87">
        <v>0</v>
      </c>
      <c r="F36" s="87"/>
      <c r="G36" s="93" t="s">
        <v>59</v>
      </c>
      <c r="H36" s="93"/>
      <c r="I36" s="93" t="s">
        <v>126</v>
      </c>
      <c r="J36" s="93"/>
      <c r="K36" s="94" t="s">
        <v>127</v>
      </c>
      <c r="L36" s="93"/>
      <c r="M36" s="95" t="s">
        <v>122</v>
      </c>
      <c r="N36" s="95"/>
      <c r="O36" s="93"/>
      <c r="P36" s="93"/>
      <c r="Q36" s="139"/>
      <c r="R36" s="94"/>
      <c r="AB36" s="30"/>
      <c r="AC36" s="30"/>
      <c r="AD36" s="30"/>
      <c r="AE36" s="30"/>
      <c r="AF36" s="30"/>
      <c r="AG36" s="35"/>
      <c r="AH36" s="35"/>
      <c r="AI36" s="36"/>
      <c r="AJ36" s="36"/>
      <c r="AK36" s="37"/>
      <c r="AL36" s="37"/>
      <c r="AM36" s="37"/>
      <c r="AN36" s="37"/>
      <c r="AO36" s="37"/>
      <c r="AP36" s="37"/>
    </row>
    <row r="37" spans="2:44" ht="13" customHeight="1" x14ac:dyDescent="0.3">
      <c r="B37" s="14" t="s">
        <v>15</v>
      </c>
      <c r="C37" s="85">
        <v>0</v>
      </c>
      <c r="D37" s="85"/>
      <c r="E37" s="88">
        <v>0</v>
      </c>
      <c r="F37" s="88"/>
      <c r="G37" s="91" t="s">
        <v>60</v>
      </c>
      <c r="H37" s="91"/>
      <c r="I37" s="91" t="s">
        <v>63</v>
      </c>
      <c r="J37" s="91"/>
      <c r="K37" s="96" t="s">
        <v>89</v>
      </c>
      <c r="L37" s="91"/>
      <c r="M37" s="97"/>
      <c r="N37" s="95"/>
      <c r="O37" s="91"/>
      <c r="P37" s="91"/>
      <c r="Q37" s="99"/>
      <c r="R37" s="96"/>
      <c r="AB37" s="30"/>
      <c r="AC37" s="30"/>
      <c r="AD37" s="30"/>
      <c r="AE37" s="30"/>
      <c r="AF37" s="30"/>
      <c r="AG37" s="35"/>
      <c r="AH37" s="35"/>
      <c r="AI37" s="36"/>
      <c r="AJ37" s="36"/>
      <c r="AK37" s="37"/>
      <c r="AL37" s="37"/>
      <c r="AM37" s="37"/>
      <c r="AN37" s="37"/>
      <c r="AO37" s="37"/>
      <c r="AP37" s="37"/>
    </row>
    <row r="38" spans="2:44" ht="13" customHeight="1" x14ac:dyDescent="0.3">
      <c r="B38" s="10" t="s">
        <v>18</v>
      </c>
      <c r="C38" s="90">
        <v>1</v>
      </c>
      <c r="D38" s="90"/>
      <c r="E38" s="88">
        <v>1</v>
      </c>
      <c r="F38" s="88"/>
      <c r="G38" s="138" t="s">
        <v>55</v>
      </c>
      <c r="H38" s="138"/>
      <c r="I38" s="95" t="s">
        <v>121</v>
      </c>
      <c r="J38" s="95"/>
      <c r="K38" s="95"/>
      <c r="L38" s="95"/>
      <c r="M38" s="95"/>
      <c r="N38" s="95"/>
      <c r="O38" s="95"/>
      <c r="P38" s="95"/>
      <c r="Q38" s="95"/>
      <c r="R38" s="137"/>
      <c r="AB38" s="30"/>
      <c r="AC38" s="30"/>
      <c r="AD38" s="30"/>
      <c r="AE38" s="30"/>
      <c r="AF38" s="30"/>
      <c r="AG38" s="35"/>
      <c r="AH38" s="35"/>
      <c r="AI38" s="36"/>
      <c r="AJ38" s="36"/>
      <c r="AK38" s="37"/>
      <c r="AL38" s="37"/>
      <c r="AM38" s="37"/>
      <c r="AN38" s="37"/>
      <c r="AO38" s="37"/>
      <c r="AP38" s="37"/>
    </row>
    <row r="39" spans="2:44" ht="13" x14ac:dyDescent="0.3">
      <c r="B39" s="10" t="s">
        <v>20</v>
      </c>
      <c r="C39" s="90">
        <v>0</v>
      </c>
      <c r="D39" s="90"/>
      <c r="E39" s="88">
        <v>0</v>
      </c>
      <c r="F39" s="88"/>
      <c r="G39" s="138" t="s">
        <v>52</v>
      </c>
      <c r="H39" s="138"/>
      <c r="I39" s="95" t="s">
        <v>128</v>
      </c>
      <c r="J39" s="95"/>
      <c r="K39" s="95"/>
      <c r="L39" s="95"/>
      <c r="M39" s="95"/>
      <c r="N39" s="95"/>
      <c r="O39" s="95"/>
      <c r="P39" s="95"/>
      <c r="Q39" s="95"/>
      <c r="R39" s="137"/>
    </row>
    <row r="40" spans="2:44" ht="13" x14ac:dyDescent="0.3">
      <c r="B40" s="29" t="s">
        <v>22</v>
      </c>
      <c r="C40" s="146">
        <v>0</v>
      </c>
      <c r="D40" s="147"/>
      <c r="E40" s="148">
        <v>0</v>
      </c>
      <c r="F40" s="149"/>
      <c r="G40" s="140" t="s">
        <v>54</v>
      </c>
      <c r="H40" s="95"/>
      <c r="I40" s="95" t="s">
        <v>120</v>
      </c>
      <c r="J40" s="95"/>
      <c r="K40" s="95"/>
      <c r="L40" s="95"/>
      <c r="M40" s="95"/>
      <c r="N40" s="95"/>
      <c r="O40" s="95"/>
      <c r="P40" s="95"/>
      <c r="Q40" s="95"/>
      <c r="R40" s="137"/>
    </row>
    <row r="41" spans="2:44" ht="13" x14ac:dyDescent="0.3">
      <c r="B41" s="14" t="s">
        <v>17</v>
      </c>
      <c r="C41" s="84">
        <v>0</v>
      </c>
      <c r="D41" s="84"/>
      <c r="E41" s="87">
        <v>0</v>
      </c>
      <c r="F41" s="87"/>
      <c r="G41" s="93" t="s">
        <v>61</v>
      </c>
      <c r="H41" s="93"/>
      <c r="I41" s="93" t="s">
        <v>129</v>
      </c>
      <c r="J41" s="93"/>
      <c r="K41" s="94"/>
      <c r="L41" s="93"/>
      <c r="M41" s="150"/>
      <c r="N41" s="142"/>
      <c r="O41" s="93"/>
      <c r="P41" s="93"/>
      <c r="Q41" s="139"/>
      <c r="R41" s="94"/>
    </row>
    <row r="42" spans="2:44" ht="13" x14ac:dyDescent="0.3">
      <c r="B42" s="14" t="s">
        <v>19</v>
      </c>
      <c r="C42" s="85">
        <v>0</v>
      </c>
      <c r="D42" s="85"/>
      <c r="E42" s="88">
        <v>0</v>
      </c>
      <c r="F42" s="88"/>
      <c r="G42" s="91" t="s">
        <v>53</v>
      </c>
      <c r="H42" s="91"/>
      <c r="I42" s="91" t="s">
        <v>90</v>
      </c>
      <c r="J42" s="91"/>
      <c r="K42" s="96"/>
      <c r="L42" s="91"/>
      <c r="M42" s="91"/>
      <c r="N42" s="91"/>
      <c r="O42" s="91"/>
      <c r="P42" s="91"/>
      <c r="Q42" s="99"/>
      <c r="R42" s="96"/>
    </row>
    <row r="43" spans="2:44" ht="13" x14ac:dyDescent="0.3">
      <c r="B43" s="14" t="s">
        <v>21</v>
      </c>
      <c r="C43" s="85">
        <v>0</v>
      </c>
      <c r="D43" s="85"/>
      <c r="E43" s="88">
        <v>0</v>
      </c>
      <c r="F43" s="88"/>
      <c r="G43" s="91" t="s">
        <v>61</v>
      </c>
      <c r="H43" s="91"/>
      <c r="I43" s="91"/>
      <c r="J43" s="91"/>
      <c r="K43" s="96"/>
      <c r="L43" s="91"/>
      <c r="M43" s="99"/>
      <c r="N43" s="91"/>
      <c r="O43" s="91"/>
      <c r="P43" s="91"/>
      <c r="Q43" s="99"/>
      <c r="R43" s="96"/>
    </row>
    <row r="44" spans="2:44" ht="13.5" thickBot="1" x14ac:dyDescent="0.35">
      <c r="B44" s="55" t="s">
        <v>41</v>
      </c>
      <c r="C44" s="86">
        <v>0</v>
      </c>
      <c r="D44" s="86"/>
      <c r="E44" s="89">
        <v>0</v>
      </c>
      <c r="F44" s="89"/>
      <c r="G44" s="92" t="s">
        <v>62</v>
      </c>
      <c r="H44" s="92"/>
      <c r="I44" s="92" t="s">
        <v>115</v>
      </c>
      <c r="J44" s="92"/>
      <c r="K44" s="92" t="s">
        <v>130</v>
      </c>
      <c r="L44" s="92"/>
      <c r="M44" s="98"/>
      <c r="N44" s="92"/>
      <c r="O44" s="92"/>
      <c r="P44" s="92"/>
      <c r="Q44" s="98"/>
      <c r="R44" s="145"/>
    </row>
    <row r="45" spans="2:44" ht="16" customHeight="1" thickBot="1" x14ac:dyDescent="0.4">
      <c r="B45" s="158" t="s">
        <v>106</v>
      </c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60"/>
    </row>
    <row r="46" spans="2:44" ht="13" customHeight="1" x14ac:dyDescent="0.3">
      <c r="B46" s="56" t="s">
        <v>154</v>
      </c>
      <c r="C46" s="141">
        <v>1</v>
      </c>
      <c r="D46" s="141"/>
      <c r="E46" s="88">
        <v>1</v>
      </c>
      <c r="F46" s="88"/>
      <c r="G46" s="138" t="s">
        <v>51</v>
      </c>
      <c r="H46" s="138"/>
      <c r="I46" s="95" t="s">
        <v>121</v>
      </c>
      <c r="J46" s="95"/>
      <c r="K46" s="142"/>
      <c r="L46" s="142"/>
      <c r="M46" s="143"/>
      <c r="N46" s="143"/>
      <c r="O46" s="142"/>
      <c r="P46" s="142"/>
      <c r="Q46" s="142"/>
      <c r="R46" s="144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R46" s="38"/>
    </row>
    <row r="47" spans="2:44" ht="13" customHeight="1" x14ac:dyDescent="0.3">
      <c r="B47" s="10" t="s">
        <v>107</v>
      </c>
      <c r="C47" s="90">
        <v>0</v>
      </c>
      <c r="D47" s="90"/>
      <c r="E47" s="88">
        <v>0</v>
      </c>
      <c r="F47" s="88"/>
      <c r="G47" s="138" t="s">
        <v>114</v>
      </c>
      <c r="H47" s="138"/>
      <c r="I47" s="95" t="s">
        <v>51</v>
      </c>
      <c r="J47" s="95"/>
      <c r="K47" s="95" t="s">
        <v>131</v>
      </c>
      <c r="L47" s="95"/>
      <c r="M47" s="95"/>
      <c r="N47" s="95"/>
      <c r="O47" s="95"/>
      <c r="P47" s="95"/>
      <c r="Q47" s="95"/>
      <c r="R47" s="137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</row>
    <row r="48" spans="2:44" ht="13.4" customHeight="1" x14ac:dyDescent="0.3">
      <c r="B48" s="10" t="s">
        <v>108</v>
      </c>
      <c r="C48" s="90">
        <v>0</v>
      </c>
      <c r="D48" s="90"/>
      <c r="E48" s="88">
        <v>0</v>
      </c>
      <c r="F48" s="88"/>
      <c r="G48" s="138" t="s">
        <v>114</v>
      </c>
      <c r="H48" s="138"/>
      <c r="I48" s="95"/>
      <c r="J48" s="95"/>
      <c r="K48" s="95"/>
      <c r="L48" s="95"/>
      <c r="M48" s="95"/>
      <c r="N48" s="95"/>
      <c r="O48" s="95"/>
      <c r="P48" s="95"/>
      <c r="Q48" s="95"/>
      <c r="R48" s="137"/>
      <c r="AB48" s="30"/>
      <c r="AC48" s="30"/>
      <c r="AD48" s="30"/>
      <c r="AE48" s="30"/>
      <c r="AF48" s="30"/>
      <c r="AG48" s="35"/>
      <c r="AH48" s="35"/>
      <c r="AI48" s="36"/>
      <c r="AJ48" s="36"/>
      <c r="AK48" s="37"/>
      <c r="AL48" s="37"/>
      <c r="AM48" s="37"/>
      <c r="AN48" s="37"/>
      <c r="AO48" s="37"/>
      <c r="AP48" s="37"/>
    </row>
    <row r="49" spans="2:42" ht="13" customHeight="1" x14ac:dyDescent="0.3">
      <c r="B49" s="10" t="s">
        <v>109</v>
      </c>
      <c r="C49" s="90">
        <v>0</v>
      </c>
      <c r="D49" s="90"/>
      <c r="E49" s="88">
        <v>0</v>
      </c>
      <c r="F49" s="88"/>
      <c r="G49" s="138" t="s">
        <v>114</v>
      </c>
      <c r="H49" s="138"/>
      <c r="I49" s="95" t="s">
        <v>55</v>
      </c>
      <c r="J49" s="138"/>
      <c r="K49" s="95"/>
      <c r="L49" s="95"/>
      <c r="M49" s="95"/>
      <c r="N49" s="95"/>
      <c r="O49" s="95"/>
      <c r="P49" s="95"/>
      <c r="Q49" s="95"/>
      <c r="R49" s="137"/>
      <c r="AB49" s="30"/>
      <c r="AC49" s="30"/>
      <c r="AD49" s="30"/>
      <c r="AE49" s="30"/>
      <c r="AF49" s="30"/>
      <c r="AG49" s="35"/>
      <c r="AH49" s="35"/>
      <c r="AI49" s="36"/>
      <c r="AJ49" s="36"/>
      <c r="AK49" s="37"/>
      <c r="AL49" s="37"/>
      <c r="AM49" s="37"/>
      <c r="AN49" s="37"/>
      <c r="AO49" s="37"/>
      <c r="AP49" s="37"/>
    </row>
    <row r="50" spans="2:42" ht="13" customHeight="1" x14ac:dyDescent="0.3">
      <c r="B50" s="10" t="s">
        <v>110</v>
      </c>
      <c r="C50" s="90">
        <v>0</v>
      </c>
      <c r="D50" s="90"/>
      <c r="E50" s="88">
        <v>0</v>
      </c>
      <c r="F50" s="88"/>
      <c r="G50" s="138" t="s">
        <v>52</v>
      </c>
      <c r="H50" s="138"/>
      <c r="I50" s="95" t="s">
        <v>128</v>
      </c>
      <c r="J50" s="138"/>
      <c r="K50" s="95"/>
      <c r="L50" s="95"/>
      <c r="M50" s="95"/>
      <c r="N50" s="95"/>
      <c r="O50" s="95"/>
      <c r="P50" s="95"/>
      <c r="Q50" s="95"/>
      <c r="R50" s="137"/>
      <c r="AB50" s="30"/>
      <c r="AC50" s="30"/>
      <c r="AD50" s="30"/>
      <c r="AE50" s="30"/>
      <c r="AF50" s="30"/>
      <c r="AG50" s="35"/>
      <c r="AH50" s="35"/>
      <c r="AI50" s="36"/>
      <c r="AJ50" s="36"/>
      <c r="AK50" s="37"/>
      <c r="AL50" s="37"/>
      <c r="AM50" s="37"/>
      <c r="AN50" s="37"/>
      <c r="AO50" s="37"/>
      <c r="AP50" s="37"/>
    </row>
    <row r="51" spans="2:42" ht="13" customHeight="1" x14ac:dyDescent="0.3">
      <c r="B51" s="13" t="s">
        <v>111</v>
      </c>
      <c r="C51" s="84">
        <v>0</v>
      </c>
      <c r="D51" s="84"/>
      <c r="E51" s="87">
        <v>0</v>
      </c>
      <c r="F51" s="87"/>
      <c r="G51" s="93" t="s">
        <v>132</v>
      </c>
      <c r="H51" s="93"/>
      <c r="I51" s="93" t="s">
        <v>133</v>
      </c>
      <c r="J51" s="93"/>
      <c r="K51" s="94"/>
      <c r="L51" s="93"/>
      <c r="M51" s="95"/>
      <c r="N51" s="95"/>
      <c r="O51" s="93"/>
      <c r="P51" s="93"/>
      <c r="Q51" s="139"/>
      <c r="R51" s="94"/>
      <c r="AB51" s="30"/>
      <c r="AC51" s="30"/>
      <c r="AD51" s="30"/>
      <c r="AE51" s="30"/>
      <c r="AF51" s="30"/>
      <c r="AG51" s="35"/>
      <c r="AH51" s="35"/>
      <c r="AI51" s="36"/>
      <c r="AJ51" s="36"/>
      <c r="AK51" s="37"/>
      <c r="AL51" s="37"/>
      <c r="AM51" s="37"/>
      <c r="AN51" s="37"/>
      <c r="AO51" s="37"/>
      <c r="AP51" s="37"/>
    </row>
    <row r="52" spans="2:42" ht="13" customHeight="1" x14ac:dyDescent="0.3">
      <c r="B52" s="14" t="s">
        <v>112</v>
      </c>
      <c r="C52" s="85">
        <v>0</v>
      </c>
      <c r="D52" s="85"/>
      <c r="E52" s="88">
        <v>0</v>
      </c>
      <c r="F52" s="88"/>
      <c r="G52" s="91" t="s">
        <v>60</v>
      </c>
      <c r="H52" s="91"/>
      <c r="I52" s="91" t="s">
        <v>115</v>
      </c>
      <c r="J52" s="91"/>
      <c r="K52" s="96"/>
      <c r="L52" s="91"/>
      <c r="M52" s="97"/>
      <c r="N52" s="95"/>
      <c r="O52" s="91"/>
      <c r="P52" s="91"/>
      <c r="Q52" s="99"/>
      <c r="R52" s="96"/>
      <c r="AB52" s="30"/>
      <c r="AC52" s="30"/>
      <c r="AD52" s="30"/>
      <c r="AE52" s="30"/>
      <c r="AF52" s="30"/>
      <c r="AG52" s="35"/>
      <c r="AH52" s="35"/>
      <c r="AI52" s="36"/>
      <c r="AJ52" s="36"/>
      <c r="AK52" s="37"/>
      <c r="AL52" s="37"/>
      <c r="AM52" s="37"/>
      <c r="AN52" s="37"/>
      <c r="AO52" s="37"/>
      <c r="AP52" s="37"/>
    </row>
    <row r="53" spans="2:42" ht="13" customHeight="1" x14ac:dyDescent="0.3">
      <c r="B53" s="10" t="s">
        <v>113</v>
      </c>
      <c r="C53" s="90">
        <v>0</v>
      </c>
      <c r="D53" s="90"/>
      <c r="E53" s="88">
        <v>0</v>
      </c>
      <c r="F53" s="88"/>
      <c r="G53" s="138" t="s">
        <v>54</v>
      </c>
      <c r="H53" s="138"/>
      <c r="I53" s="95" t="s">
        <v>120</v>
      </c>
      <c r="J53" s="138"/>
      <c r="K53" s="95"/>
      <c r="L53" s="95"/>
      <c r="M53" s="95"/>
      <c r="N53" s="95"/>
      <c r="O53" s="95"/>
      <c r="P53" s="95"/>
      <c r="Q53" s="95"/>
      <c r="R53" s="137"/>
      <c r="AB53" s="30"/>
      <c r="AC53" s="30"/>
      <c r="AD53" s="30"/>
      <c r="AE53" s="30"/>
      <c r="AF53" s="30"/>
      <c r="AG53" s="35"/>
      <c r="AH53" s="35"/>
      <c r="AI53" s="36"/>
      <c r="AJ53" s="36"/>
      <c r="AK53" s="37"/>
      <c r="AL53" s="37"/>
      <c r="AM53" s="37"/>
      <c r="AN53" s="37"/>
      <c r="AO53" s="37"/>
      <c r="AP53" s="37"/>
    </row>
    <row r="54" spans="2:42" ht="13" x14ac:dyDescent="0.3">
      <c r="B54" s="10" t="s">
        <v>137</v>
      </c>
      <c r="C54" s="90">
        <v>0</v>
      </c>
      <c r="D54" s="90"/>
      <c r="E54" s="88">
        <v>0</v>
      </c>
      <c r="F54" s="88"/>
      <c r="G54" s="138" t="s">
        <v>114</v>
      </c>
      <c r="H54" s="138"/>
      <c r="I54" s="95" t="s">
        <v>51</v>
      </c>
      <c r="J54" s="95"/>
      <c r="K54" s="95"/>
      <c r="L54" s="95"/>
      <c r="M54" s="95"/>
      <c r="N54" s="95"/>
      <c r="O54" s="95"/>
      <c r="P54" s="95"/>
      <c r="Q54" s="95"/>
      <c r="R54" s="137"/>
    </row>
    <row r="55" spans="2:42" ht="13" x14ac:dyDescent="0.3">
      <c r="B55" s="74" t="s">
        <v>138</v>
      </c>
      <c r="C55" s="146">
        <v>0</v>
      </c>
      <c r="D55" s="147"/>
      <c r="E55" s="148">
        <v>0</v>
      </c>
      <c r="F55" s="149"/>
      <c r="G55" s="140" t="s">
        <v>114</v>
      </c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137"/>
    </row>
    <row r="56" spans="2:42" ht="13.5" thickBot="1" x14ac:dyDescent="0.35">
      <c r="B56" s="15" t="s">
        <v>139</v>
      </c>
      <c r="C56" s="151">
        <v>0</v>
      </c>
      <c r="D56" s="151"/>
      <c r="E56" s="152">
        <v>0</v>
      </c>
      <c r="F56" s="152"/>
      <c r="G56" s="153" t="s">
        <v>62</v>
      </c>
      <c r="H56" s="153"/>
      <c r="I56" s="153"/>
      <c r="J56" s="153"/>
      <c r="K56" s="154"/>
      <c r="L56" s="153"/>
      <c r="M56" s="155"/>
      <c r="N56" s="156"/>
      <c r="O56" s="153"/>
      <c r="P56" s="153"/>
      <c r="Q56" s="157"/>
      <c r="R56" s="154"/>
    </row>
  </sheetData>
  <mergeCells count="465">
    <mergeCell ref="B45:R45"/>
    <mergeCell ref="C55:D55"/>
    <mergeCell ref="E55:F55"/>
    <mergeCell ref="G55:H55"/>
    <mergeCell ref="I55:J55"/>
    <mergeCell ref="K55:L55"/>
    <mergeCell ref="M55:N55"/>
    <mergeCell ref="O55:P55"/>
    <mergeCell ref="Q55:R55"/>
    <mergeCell ref="C51:D51"/>
    <mergeCell ref="E51:F51"/>
    <mergeCell ref="G51:H51"/>
    <mergeCell ref="I51:J51"/>
    <mergeCell ref="K51:L51"/>
    <mergeCell ref="M51:N51"/>
    <mergeCell ref="O51:P51"/>
    <mergeCell ref="Q51:R51"/>
    <mergeCell ref="C52:D52"/>
    <mergeCell ref="E52:F52"/>
    <mergeCell ref="G52:H52"/>
    <mergeCell ref="I52:J52"/>
    <mergeCell ref="K52:L52"/>
    <mergeCell ref="M52:N52"/>
    <mergeCell ref="O52:P52"/>
    <mergeCell ref="C56:D56"/>
    <mergeCell ref="E56:F56"/>
    <mergeCell ref="G56:H56"/>
    <mergeCell ref="I56:J56"/>
    <mergeCell ref="K56:L56"/>
    <mergeCell ref="M56:N56"/>
    <mergeCell ref="O56:P56"/>
    <mergeCell ref="Q56:R56"/>
    <mergeCell ref="C53:D53"/>
    <mergeCell ref="E53:F53"/>
    <mergeCell ref="G53:H53"/>
    <mergeCell ref="I53:J53"/>
    <mergeCell ref="K53:L53"/>
    <mergeCell ref="M53:N53"/>
    <mergeCell ref="O53:P53"/>
    <mergeCell ref="Q53:R53"/>
    <mergeCell ref="C54:D54"/>
    <mergeCell ref="E54:F54"/>
    <mergeCell ref="G54:H54"/>
    <mergeCell ref="I54:J54"/>
    <mergeCell ref="K54:L54"/>
    <mergeCell ref="M54:N54"/>
    <mergeCell ref="O54:P54"/>
    <mergeCell ref="Q54:R54"/>
    <mergeCell ref="Q52:R52"/>
    <mergeCell ref="C49:D49"/>
    <mergeCell ref="E49:F49"/>
    <mergeCell ref="G49:H49"/>
    <mergeCell ref="I49:J49"/>
    <mergeCell ref="K49:L49"/>
    <mergeCell ref="M49:N49"/>
    <mergeCell ref="O49:P49"/>
    <mergeCell ref="Q49:R49"/>
    <mergeCell ref="C50:D50"/>
    <mergeCell ref="E50:F50"/>
    <mergeCell ref="G50:H50"/>
    <mergeCell ref="I50:J50"/>
    <mergeCell ref="K50:L50"/>
    <mergeCell ref="M50:N50"/>
    <mergeCell ref="O50:P50"/>
    <mergeCell ref="Q50:R50"/>
    <mergeCell ref="C47:D47"/>
    <mergeCell ref="E47:F47"/>
    <mergeCell ref="G47:H47"/>
    <mergeCell ref="I47:J47"/>
    <mergeCell ref="K47:L47"/>
    <mergeCell ref="M47:N47"/>
    <mergeCell ref="O47:P47"/>
    <mergeCell ref="Q47:R47"/>
    <mergeCell ref="C48:D48"/>
    <mergeCell ref="E48:F48"/>
    <mergeCell ref="G48:H48"/>
    <mergeCell ref="I48:J48"/>
    <mergeCell ref="K48:L48"/>
    <mergeCell ref="M48:N48"/>
    <mergeCell ref="O48:P48"/>
    <mergeCell ref="Q48:R48"/>
    <mergeCell ref="C46:D46"/>
    <mergeCell ref="E46:F46"/>
    <mergeCell ref="G46:H46"/>
    <mergeCell ref="I46:J46"/>
    <mergeCell ref="K46:L46"/>
    <mergeCell ref="M46:N46"/>
    <mergeCell ref="O46:P46"/>
    <mergeCell ref="Q46:R46"/>
    <mergeCell ref="Q37:R37"/>
    <mergeCell ref="Q41:R41"/>
    <mergeCell ref="Q42:R42"/>
    <mergeCell ref="Q43:R43"/>
    <mergeCell ref="Q44:R44"/>
    <mergeCell ref="C40:D40"/>
    <mergeCell ref="E40:F40"/>
    <mergeCell ref="C39:D39"/>
    <mergeCell ref="E39:F39"/>
    <mergeCell ref="I41:J41"/>
    <mergeCell ref="K41:L41"/>
    <mergeCell ref="M41:N41"/>
    <mergeCell ref="O41:P41"/>
    <mergeCell ref="G42:H42"/>
    <mergeCell ref="I42:J42"/>
    <mergeCell ref="K42:L42"/>
    <mergeCell ref="Q32:R32"/>
    <mergeCell ref="Q33:R33"/>
    <mergeCell ref="Q34:R34"/>
    <mergeCell ref="Q35:R35"/>
    <mergeCell ref="Q38:R38"/>
    <mergeCell ref="Q39:R39"/>
    <mergeCell ref="Q40:R40"/>
    <mergeCell ref="Q36:R36"/>
    <mergeCell ref="G38:H38"/>
    <mergeCell ref="I38:J38"/>
    <mergeCell ref="K38:L38"/>
    <mergeCell ref="M38:N38"/>
    <mergeCell ref="O38:P38"/>
    <mergeCell ref="I39:J39"/>
    <mergeCell ref="K39:L39"/>
    <mergeCell ref="M39:N39"/>
    <mergeCell ref="G40:H40"/>
    <mergeCell ref="I40:J40"/>
    <mergeCell ref="K40:L40"/>
    <mergeCell ref="M40:N40"/>
    <mergeCell ref="O40:P40"/>
    <mergeCell ref="O39:P39"/>
    <mergeCell ref="G39:H39"/>
    <mergeCell ref="G36:H36"/>
    <mergeCell ref="C34:D34"/>
    <mergeCell ref="E34:F34"/>
    <mergeCell ref="G34:H34"/>
    <mergeCell ref="I34:J34"/>
    <mergeCell ref="K34:L34"/>
    <mergeCell ref="M34:N34"/>
    <mergeCell ref="O34:P34"/>
    <mergeCell ref="C35:D35"/>
    <mergeCell ref="E35:F35"/>
    <mergeCell ref="G35:H35"/>
    <mergeCell ref="I35:J35"/>
    <mergeCell ref="K35:L35"/>
    <mergeCell ref="M35:N35"/>
    <mergeCell ref="O35:P35"/>
    <mergeCell ref="C32:D32"/>
    <mergeCell ref="E32:F32"/>
    <mergeCell ref="G32:H32"/>
    <mergeCell ref="I32:J32"/>
    <mergeCell ref="K32:L32"/>
    <mergeCell ref="M32:N32"/>
    <mergeCell ref="O32:P32"/>
    <mergeCell ref="C33:D33"/>
    <mergeCell ref="E33:F33"/>
    <mergeCell ref="G33:H33"/>
    <mergeCell ref="I33:J33"/>
    <mergeCell ref="K33:L33"/>
    <mergeCell ref="M33:N33"/>
    <mergeCell ref="O33:P33"/>
    <mergeCell ref="C31:D31"/>
    <mergeCell ref="E31:F31"/>
    <mergeCell ref="G31:H31"/>
    <mergeCell ref="I31:J31"/>
    <mergeCell ref="K31:L31"/>
    <mergeCell ref="M31:N31"/>
    <mergeCell ref="O31:P31"/>
    <mergeCell ref="C30:D30"/>
    <mergeCell ref="E30:F30"/>
    <mergeCell ref="G30:R30"/>
    <mergeCell ref="Q31:R31"/>
    <mergeCell ref="AK28:AL28"/>
    <mergeCell ref="AM28:AN28"/>
    <mergeCell ref="AO28:AP28"/>
    <mergeCell ref="U28:V28"/>
    <mergeCell ref="W28:X28"/>
    <mergeCell ref="Y28:Z28"/>
    <mergeCell ref="AA28:AB28"/>
    <mergeCell ref="AC28:AD28"/>
    <mergeCell ref="AE28:AF28"/>
    <mergeCell ref="AO27:AP27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AC27:AD27"/>
    <mergeCell ref="AE27:AF27"/>
    <mergeCell ref="AG27:AH27"/>
    <mergeCell ref="AI27:AJ27"/>
    <mergeCell ref="AK27:AL27"/>
    <mergeCell ref="AM27:AN27"/>
    <mergeCell ref="Q27:R27"/>
    <mergeCell ref="S27:T27"/>
    <mergeCell ref="U27:V27"/>
    <mergeCell ref="W27:X27"/>
    <mergeCell ref="Y27:Z27"/>
    <mergeCell ref="AA27:AB27"/>
    <mergeCell ref="AG28:AH28"/>
    <mergeCell ref="AI28:AJ28"/>
    <mergeCell ref="C27:D27"/>
    <mergeCell ref="E27:F27"/>
    <mergeCell ref="G27:H27"/>
    <mergeCell ref="I27:J27"/>
    <mergeCell ref="K27:L27"/>
    <mergeCell ref="M27:N27"/>
    <mergeCell ref="O27:P27"/>
    <mergeCell ref="Y26:Z26"/>
    <mergeCell ref="AA26:AB26"/>
    <mergeCell ref="M26:N26"/>
    <mergeCell ref="O26:P26"/>
    <mergeCell ref="Q26:R26"/>
    <mergeCell ref="S26:T26"/>
    <mergeCell ref="U26:V26"/>
    <mergeCell ref="W26:X26"/>
    <mergeCell ref="AK25:AL25"/>
    <mergeCell ref="AM25:AN25"/>
    <mergeCell ref="AO25:AP25"/>
    <mergeCell ref="C26:D26"/>
    <mergeCell ref="E26:F26"/>
    <mergeCell ref="G26:H26"/>
    <mergeCell ref="I26:J26"/>
    <mergeCell ref="K26:L26"/>
    <mergeCell ref="U25:V25"/>
    <mergeCell ref="W25:X25"/>
    <mergeCell ref="Y25:Z25"/>
    <mergeCell ref="AA25:AB25"/>
    <mergeCell ref="AC25:AD25"/>
    <mergeCell ref="AE25:AF25"/>
    <mergeCell ref="AK26:AL26"/>
    <mergeCell ref="AM26:AN26"/>
    <mergeCell ref="AO26:AP26"/>
    <mergeCell ref="AC26:AD26"/>
    <mergeCell ref="AE26:AF26"/>
    <mergeCell ref="AG26:AH26"/>
    <mergeCell ref="AI26:AJ26"/>
    <mergeCell ref="AO10:AP10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AC10:AD10"/>
    <mergeCell ref="AE10:AF10"/>
    <mergeCell ref="AG10:AH10"/>
    <mergeCell ref="AI10:AJ10"/>
    <mergeCell ref="AK10:AL10"/>
    <mergeCell ref="AM10:AN10"/>
    <mergeCell ref="Q10:R10"/>
    <mergeCell ref="S10:T10"/>
    <mergeCell ref="U10:V10"/>
    <mergeCell ref="W10:X10"/>
    <mergeCell ref="Y10:Z10"/>
    <mergeCell ref="AA10:AB10"/>
    <mergeCell ref="AG25:AH25"/>
    <mergeCell ref="AI25:AJ25"/>
    <mergeCell ref="C10:D10"/>
    <mergeCell ref="E10:F10"/>
    <mergeCell ref="G10:H10"/>
    <mergeCell ref="I10:J10"/>
    <mergeCell ref="K10:L10"/>
    <mergeCell ref="M10:N10"/>
    <mergeCell ref="O10:P10"/>
    <mergeCell ref="Y9:Z9"/>
    <mergeCell ref="AA9:AB9"/>
    <mergeCell ref="M9:N9"/>
    <mergeCell ref="O9:P9"/>
    <mergeCell ref="Q9:R9"/>
    <mergeCell ref="S9:T9"/>
    <mergeCell ref="U9:V9"/>
    <mergeCell ref="W9:X9"/>
    <mergeCell ref="AK8:AL8"/>
    <mergeCell ref="AM8:AN8"/>
    <mergeCell ref="AO8:AP8"/>
    <mergeCell ref="C9:D9"/>
    <mergeCell ref="E9:F9"/>
    <mergeCell ref="G9:H9"/>
    <mergeCell ref="I9:J9"/>
    <mergeCell ref="K9:L9"/>
    <mergeCell ref="U8:V8"/>
    <mergeCell ref="W8:X8"/>
    <mergeCell ref="Y8:Z8"/>
    <mergeCell ref="AA8:AB8"/>
    <mergeCell ref="AC8:AD8"/>
    <mergeCell ref="AE8:AF8"/>
    <mergeCell ref="AK9:AL9"/>
    <mergeCell ref="AM9:AN9"/>
    <mergeCell ref="AO9:AP9"/>
    <mergeCell ref="AC9:AD9"/>
    <mergeCell ref="AE9:AF9"/>
    <mergeCell ref="AG9:AH9"/>
    <mergeCell ref="AI9:AJ9"/>
    <mergeCell ref="AO7:AP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AC7:AD7"/>
    <mergeCell ref="AE7:AF7"/>
    <mergeCell ref="AG7:AH7"/>
    <mergeCell ref="AI7:AJ7"/>
    <mergeCell ref="AK7:AL7"/>
    <mergeCell ref="AM7:AN7"/>
    <mergeCell ref="Q7:R7"/>
    <mergeCell ref="S7:T7"/>
    <mergeCell ref="U7:V7"/>
    <mergeCell ref="W7:X7"/>
    <mergeCell ref="Y7:Z7"/>
    <mergeCell ref="AA7:AB7"/>
    <mergeCell ref="AG8:AH8"/>
    <mergeCell ref="AI8:AJ8"/>
    <mergeCell ref="C7:D7"/>
    <mergeCell ref="E7:F7"/>
    <mergeCell ref="G7:H7"/>
    <mergeCell ref="I7:J7"/>
    <mergeCell ref="K7:L7"/>
    <mergeCell ref="M7:N7"/>
    <mergeCell ref="O7:P7"/>
    <mergeCell ref="Y6:Z6"/>
    <mergeCell ref="AA6:AB6"/>
    <mergeCell ref="M6:N6"/>
    <mergeCell ref="O6:P6"/>
    <mergeCell ref="Q6:R6"/>
    <mergeCell ref="S6:T6"/>
    <mergeCell ref="U6:V6"/>
    <mergeCell ref="W6:X6"/>
    <mergeCell ref="AO5:AP5"/>
    <mergeCell ref="C6:D6"/>
    <mergeCell ref="E6:F6"/>
    <mergeCell ref="G6:H6"/>
    <mergeCell ref="I6:J6"/>
    <mergeCell ref="K6:L6"/>
    <mergeCell ref="U5:V5"/>
    <mergeCell ref="W5:X5"/>
    <mergeCell ref="Y5:Z5"/>
    <mergeCell ref="AA5:AB5"/>
    <mergeCell ref="AC5:AD5"/>
    <mergeCell ref="AE5:AF5"/>
    <mergeCell ref="AK6:AL6"/>
    <mergeCell ref="AM6:AN6"/>
    <mergeCell ref="AO6:AP6"/>
    <mergeCell ref="AC6:AD6"/>
    <mergeCell ref="AE6:AF6"/>
    <mergeCell ref="AG6:AH6"/>
    <mergeCell ref="AI6:AJ6"/>
    <mergeCell ref="C5:D5"/>
    <mergeCell ref="E5:F5"/>
    <mergeCell ref="G5:H5"/>
    <mergeCell ref="I5:J5"/>
    <mergeCell ref="K5:L5"/>
    <mergeCell ref="AM4:AN4"/>
    <mergeCell ref="Q4:R4"/>
    <mergeCell ref="S4:T4"/>
    <mergeCell ref="U4:V4"/>
    <mergeCell ref="W4:X4"/>
    <mergeCell ref="Y4:Z4"/>
    <mergeCell ref="AA4:AB4"/>
    <mergeCell ref="AG5:AH5"/>
    <mergeCell ref="AI5:AJ5"/>
    <mergeCell ref="AK5:AL5"/>
    <mergeCell ref="AM5:AN5"/>
    <mergeCell ref="M5:N5"/>
    <mergeCell ref="O5:P5"/>
    <mergeCell ref="Q5:R5"/>
    <mergeCell ref="S5:T5"/>
    <mergeCell ref="AK3:AL3"/>
    <mergeCell ref="E3:F3"/>
    <mergeCell ref="G3:H3"/>
    <mergeCell ref="I3:J3"/>
    <mergeCell ref="K3:L3"/>
    <mergeCell ref="AE4:AF4"/>
    <mergeCell ref="AG4:AH4"/>
    <mergeCell ref="AI4:AJ4"/>
    <mergeCell ref="AK4:AL4"/>
    <mergeCell ref="AM3:AN3"/>
    <mergeCell ref="AO3:AP3"/>
    <mergeCell ref="C4:D4"/>
    <mergeCell ref="E4:F4"/>
    <mergeCell ref="G4:H4"/>
    <mergeCell ref="I4:J4"/>
    <mergeCell ref="K4:L4"/>
    <mergeCell ref="M4:N4"/>
    <mergeCell ref="O4:P4"/>
    <mergeCell ref="Y3:Z3"/>
    <mergeCell ref="AA3:AB3"/>
    <mergeCell ref="AC3:AD3"/>
    <mergeCell ref="AE3:AF3"/>
    <mergeCell ref="AG3:AH3"/>
    <mergeCell ref="AI3:AJ3"/>
    <mergeCell ref="M3:N3"/>
    <mergeCell ref="O3:P3"/>
    <mergeCell ref="Q3:R3"/>
    <mergeCell ref="S3:T3"/>
    <mergeCell ref="U3:V3"/>
    <mergeCell ref="W3:X3"/>
    <mergeCell ref="AO4:AP4"/>
    <mergeCell ref="AC4:AD4"/>
    <mergeCell ref="C3:D3"/>
    <mergeCell ref="U2:V2"/>
    <mergeCell ref="W2:X2"/>
    <mergeCell ref="Y2:Z2"/>
    <mergeCell ref="AA2:AB2"/>
    <mergeCell ref="B1:AP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AG2:AH2"/>
    <mergeCell ref="AI2:AJ2"/>
    <mergeCell ref="AK2:AL2"/>
    <mergeCell ref="AM2:AN2"/>
    <mergeCell ref="AO2:AP2"/>
    <mergeCell ref="AC2:AD2"/>
    <mergeCell ref="AE2:AF2"/>
    <mergeCell ref="O43:P43"/>
    <mergeCell ref="G44:H44"/>
    <mergeCell ref="I44:J44"/>
    <mergeCell ref="I36:J36"/>
    <mergeCell ref="K36:L36"/>
    <mergeCell ref="M36:N36"/>
    <mergeCell ref="O36:P36"/>
    <mergeCell ref="G37:H37"/>
    <mergeCell ref="I37:J37"/>
    <mergeCell ref="K37:L37"/>
    <mergeCell ref="M37:N37"/>
    <mergeCell ref="O37:P37"/>
    <mergeCell ref="K44:L44"/>
    <mergeCell ref="M44:N44"/>
    <mergeCell ref="O44:P44"/>
    <mergeCell ref="M42:N42"/>
    <mergeCell ref="O42:P42"/>
    <mergeCell ref="G41:H41"/>
    <mergeCell ref="G43:H43"/>
    <mergeCell ref="I43:J43"/>
    <mergeCell ref="K43:L43"/>
    <mergeCell ref="M43:N43"/>
    <mergeCell ref="C36:D36"/>
    <mergeCell ref="C37:D37"/>
    <mergeCell ref="C41:D41"/>
    <mergeCell ref="C42:D42"/>
    <mergeCell ref="C43:D43"/>
    <mergeCell ref="C44:D44"/>
    <mergeCell ref="E36:F36"/>
    <mergeCell ref="E37:F37"/>
    <mergeCell ref="E41:F41"/>
    <mergeCell ref="E42:F42"/>
    <mergeCell ref="E43:F43"/>
    <mergeCell ref="E44:F44"/>
    <mergeCell ref="C38:D38"/>
    <mergeCell ref="E38:F38"/>
  </mergeCells>
  <conditionalFormatting sqref="G31">
    <cfRule type="expression" dxfId="189" priority="102">
      <formula>$E$31&gt;=2</formula>
    </cfRule>
  </conditionalFormatting>
  <conditionalFormatting sqref="G32">
    <cfRule type="expression" dxfId="188" priority="97">
      <formula>$E$32&gt;=1</formula>
    </cfRule>
  </conditionalFormatting>
  <conditionalFormatting sqref="G33">
    <cfRule type="expression" dxfId="187" priority="94">
      <formula>$E$33&gt;=1</formula>
    </cfRule>
  </conditionalFormatting>
  <conditionalFormatting sqref="G34">
    <cfRule type="expression" dxfId="186" priority="91">
      <formula>$E$34&gt;=1</formula>
    </cfRule>
  </conditionalFormatting>
  <conditionalFormatting sqref="G35">
    <cfRule type="expression" dxfId="185" priority="88">
      <formula>$E$35&gt;=2</formula>
    </cfRule>
  </conditionalFormatting>
  <conditionalFormatting sqref="G36">
    <cfRule type="expression" dxfId="184" priority="79">
      <formula>$E$36&gt;=1</formula>
    </cfRule>
  </conditionalFormatting>
  <conditionalFormatting sqref="G38">
    <cfRule type="expression" dxfId="183" priority="83">
      <formula>$E$38&gt;=2</formula>
    </cfRule>
  </conditionalFormatting>
  <conditionalFormatting sqref="G39">
    <cfRule type="expression" dxfId="182" priority="81">
      <formula>$E$39&gt;=1</formula>
    </cfRule>
  </conditionalFormatting>
  <conditionalFormatting sqref="G40">
    <cfRule type="expression" dxfId="181" priority="80">
      <formula>$E$40&gt;=1</formula>
    </cfRule>
  </conditionalFormatting>
  <conditionalFormatting sqref="G41">
    <cfRule type="expression" dxfId="180" priority="73">
      <formula>$E$41&gt;=1</formula>
    </cfRule>
  </conditionalFormatting>
  <conditionalFormatting sqref="G42">
    <cfRule type="expression" dxfId="179" priority="71">
      <formula>$E$42&gt;=1</formula>
    </cfRule>
  </conditionalFormatting>
  <conditionalFormatting sqref="G43">
    <cfRule type="expression" dxfId="178" priority="69">
      <formula>$E$43&gt;=1</formula>
    </cfRule>
  </conditionalFormatting>
  <conditionalFormatting sqref="G44">
    <cfRule type="expression" dxfId="177" priority="68">
      <formula>$E$44&gt;=1</formula>
    </cfRule>
  </conditionalFormatting>
  <conditionalFormatting sqref="G47">
    <cfRule type="expression" dxfId="176" priority="55">
      <formula>$E$47&gt;=1</formula>
    </cfRule>
  </conditionalFormatting>
  <conditionalFormatting sqref="G48">
    <cfRule type="expression" dxfId="175" priority="52">
      <formula>$E$48&gt;=1</formula>
    </cfRule>
  </conditionalFormatting>
  <conditionalFormatting sqref="G49">
    <cfRule type="expression" dxfId="174" priority="49">
      <formula>$E$49&gt;=1</formula>
    </cfRule>
  </conditionalFormatting>
  <conditionalFormatting sqref="G50">
    <cfRule type="expression" dxfId="173" priority="12">
      <formula>$E$50&gt;=1</formula>
    </cfRule>
  </conditionalFormatting>
  <conditionalFormatting sqref="G51">
    <cfRule type="expression" dxfId="172" priority="37">
      <formula>$E$51&gt;=1</formula>
    </cfRule>
  </conditionalFormatting>
  <conditionalFormatting sqref="G52">
    <cfRule type="expression" dxfId="171" priority="34">
      <formula>$E$52&gt;=1</formula>
    </cfRule>
  </conditionalFormatting>
  <conditionalFormatting sqref="G53">
    <cfRule type="expression" dxfId="170" priority="23">
      <formula>$E$53&gt;=1</formula>
    </cfRule>
  </conditionalFormatting>
  <conditionalFormatting sqref="G54">
    <cfRule type="expression" dxfId="169" priority="39">
      <formula>$E$54&gt;=1</formula>
    </cfRule>
  </conditionalFormatting>
  <conditionalFormatting sqref="G55">
    <cfRule type="expression" dxfId="168" priority="38">
      <formula>$E$55&gt;=1</formula>
    </cfRule>
  </conditionalFormatting>
  <conditionalFormatting sqref="G56">
    <cfRule type="expression" dxfId="167" priority="31">
      <formula>$E$56&gt;=1</formula>
    </cfRule>
  </conditionalFormatting>
  <conditionalFormatting sqref="G37:H37">
    <cfRule type="expression" dxfId="166" priority="10">
      <formula>$E$37&gt;=1</formula>
    </cfRule>
  </conditionalFormatting>
  <conditionalFormatting sqref="G46:H46">
    <cfRule type="expression" dxfId="165" priority="13">
      <formula>$E$46&gt;=2</formula>
    </cfRule>
  </conditionalFormatting>
  <conditionalFormatting sqref="G47:L47">
    <cfRule type="expression" dxfId="164" priority="5">
      <formula>$E$31&lt;4</formula>
    </cfRule>
  </conditionalFormatting>
  <conditionalFormatting sqref="I26">
    <cfRule type="expression" dxfId="163" priority="125">
      <formula>$E$35&gt;=3</formula>
    </cfRule>
  </conditionalFormatting>
  <conditionalFormatting sqref="I31">
    <cfRule type="expression" dxfId="162" priority="101">
      <formula>$E$31&gt;=3</formula>
    </cfRule>
  </conditionalFormatting>
  <conditionalFormatting sqref="I32">
    <cfRule type="expression" dxfId="161" priority="96">
      <formula>$E$32&gt;=2</formula>
    </cfRule>
  </conditionalFormatting>
  <conditionalFormatting sqref="I33">
    <cfRule type="expression" dxfId="160" priority="93">
      <formula>$E$33&gt;=2</formula>
    </cfRule>
  </conditionalFormatting>
  <conditionalFormatting sqref="I34">
    <cfRule type="expression" dxfId="159" priority="90">
      <formula>$E$34&gt;=2</formula>
    </cfRule>
  </conditionalFormatting>
  <conditionalFormatting sqref="I35">
    <cfRule type="expression" dxfId="158" priority="84">
      <formula>$E$35&gt;=3</formula>
    </cfRule>
  </conditionalFormatting>
  <conditionalFormatting sqref="I36">
    <cfRule type="expression" dxfId="157" priority="78">
      <formula>$E$36&gt;=2</formula>
    </cfRule>
  </conditionalFormatting>
  <conditionalFormatting sqref="I37">
    <cfRule type="expression" dxfId="156" priority="75">
      <formula>$E$37&gt;=2</formula>
    </cfRule>
  </conditionalFormatting>
  <conditionalFormatting sqref="I38">
    <cfRule type="expression" dxfId="155" priority="82">
      <formula>$E$38&gt;=3</formula>
    </cfRule>
  </conditionalFormatting>
  <conditionalFormatting sqref="I39">
    <cfRule type="expression" dxfId="154" priority="9">
      <formula>$E$39&gt;=2</formula>
    </cfRule>
  </conditionalFormatting>
  <conditionalFormatting sqref="I41">
    <cfRule type="expression" dxfId="153" priority="72">
      <formula>$E$41&gt;=2</formula>
    </cfRule>
  </conditionalFormatting>
  <conditionalFormatting sqref="I42">
    <cfRule type="expression" dxfId="152" priority="70">
      <formula>$E$42&gt;=2</formula>
    </cfRule>
  </conditionalFormatting>
  <conditionalFormatting sqref="I44">
    <cfRule type="expression" dxfId="151" priority="67">
      <formula>$E$44&gt;=2</formula>
    </cfRule>
  </conditionalFormatting>
  <conditionalFormatting sqref="I46">
    <cfRule type="expression" dxfId="150" priority="20">
      <formula>$E$46&gt;=3</formula>
    </cfRule>
  </conditionalFormatting>
  <conditionalFormatting sqref="I47">
    <cfRule type="expression" dxfId="149" priority="54">
      <formula>$E$47&gt;=2</formula>
    </cfRule>
  </conditionalFormatting>
  <conditionalFormatting sqref="I49">
    <cfRule type="expression" dxfId="148" priority="48">
      <formula>$E$49&gt;=2</formula>
    </cfRule>
  </conditionalFormatting>
  <conditionalFormatting sqref="I51">
    <cfRule type="expression" dxfId="147" priority="36">
      <formula>$E$51&gt;=2</formula>
    </cfRule>
  </conditionalFormatting>
  <conditionalFormatting sqref="I52">
    <cfRule type="expression" dxfId="146" priority="33">
      <formula>$E$52&gt;=2</formula>
    </cfRule>
  </conditionalFormatting>
  <conditionalFormatting sqref="I53">
    <cfRule type="expression" dxfId="145" priority="22">
      <formula>$E$53&gt;=2</formula>
    </cfRule>
  </conditionalFormatting>
  <conditionalFormatting sqref="I54">
    <cfRule type="expression" dxfId="144" priority="40">
      <formula>$E$54&gt;=2</formula>
    </cfRule>
  </conditionalFormatting>
  <conditionalFormatting sqref="I56">
    <cfRule type="expression" dxfId="143" priority="30">
      <formula>$E$41&gt;=2</formula>
    </cfRule>
  </conditionalFormatting>
  <conditionalFormatting sqref="I40:J40">
    <cfRule type="expression" dxfId="142" priority="8">
      <formula>$E$40&gt;=2</formula>
    </cfRule>
  </conditionalFormatting>
  <conditionalFormatting sqref="I50:J50">
    <cfRule type="expression" dxfId="141" priority="11">
      <formula>$E$50&gt;=2</formula>
    </cfRule>
  </conditionalFormatting>
  <conditionalFormatting sqref="K31">
    <cfRule type="expression" dxfId="140" priority="100">
      <formula>$E$31&gt;=4</formula>
    </cfRule>
  </conditionalFormatting>
  <conditionalFormatting sqref="K32">
    <cfRule type="expression" dxfId="139" priority="95">
      <formula>$E$32&gt;=3</formula>
    </cfRule>
  </conditionalFormatting>
  <conditionalFormatting sqref="K33">
    <cfRule type="expression" dxfId="138" priority="92">
      <formula>$E$33&gt;=3</formula>
    </cfRule>
  </conditionalFormatting>
  <conditionalFormatting sqref="K34">
    <cfRule type="expression" dxfId="137" priority="89">
      <formula>$E$34&gt;=3</formula>
    </cfRule>
  </conditionalFormatting>
  <conditionalFormatting sqref="K35">
    <cfRule type="expression" dxfId="136" priority="87">
      <formula>$E$35&gt;=4</formula>
    </cfRule>
  </conditionalFormatting>
  <conditionalFormatting sqref="K36">
    <cfRule type="expression" dxfId="135" priority="77">
      <formula>$E$36&gt;=3</formula>
    </cfRule>
  </conditionalFormatting>
  <conditionalFormatting sqref="K37">
    <cfRule type="expression" dxfId="134" priority="74">
      <formula>$E$37&gt;=3</formula>
    </cfRule>
  </conditionalFormatting>
  <conditionalFormatting sqref="K44">
    <cfRule type="expression" dxfId="133" priority="61">
      <formula>$E$44&gt;=3</formula>
    </cfRule>
  </conditionalFormatting>
  <conditionalFormatting sqref="K47">
    <cfRule type="expression" dxfId="132" priority="15">
      <formula>$E$47&gt;=3</formula>
    </cfRule>
  </conditionalFormatting>
  <conditionalFormatting sqref="M31">
    <cfRule type="expression" dxfId="131" priority="99">
      <formula>$E$31&gt;=5</formula>
    </cfRule>
  </conditionalFormatting>
  <conditionalFormatting sqref="M32">
    <cfRule type="expression" dxfId="130" priority="63">
      <formula>$E$32&gt;=4</formula>
    </cfRule>
  </conditionalFormatting>
  <conditionalFormatting sqref="M35">
    <cfRule type="expression" dxfId="129" priority="86">
      <formula>$E$35&gt;=5</formula>
    </cfRule>
  </conditionalFormatting>
  <conditionalFormatting sqref="M36">
    <cfRule type="expression" dxfId="128" priority="6">
      <formula>$E$47&lt;2</formula>
    </cfRule>
    <cfRule type="expression" dxfId="127" priority="62">
      <formula>$E$36&gt;=4</formula>
    </cfRule>
  </conditionalFormatting>
  <conditionalFormatting sqref="M32:N32">
    <cfRule type="expression" dxfId="126" priority="7">
      <formula>$E$47&lt;1</formula>
    </cfRule>
  </conditionalFormatting>
  <conditionalFormatting sqref="O31">
    <cfRule type="expression" dxfId="125" priority="98">
      <formula>$E$31&gt;=6</formula>
    </cfRule>
  </conditionalFormatting>
  <conditionalFormatting sqref="O35">
    <cfRule type="expression" dxfId="124" priority="85">
      <formula>$E$35&gt;=6</formula>
    </cfRule>
  </conditionalFormatting>
  <conditionalFormatting sqref="Q31">
    <cfRule type="expression" dxfId="123" priority="64">
      <formula>$E$31&gt;=7</formula>
    </cfRule>
  </conditionalFormatting>
  <conditionalFormatting sqref="Q35">
    <cfRule type="expression" dxfId="122" priority="65">
      <formula>$E$35&gt;=7</formula>
    </cfRule>
  </conditionalFormatting>
  <conditionalFormatting sqref="B44:R44">
    <cfRule type="expression" dxfId="121" priority="4">
      <formula>$T$31</formula>
    </cfRule>
  </conditionalFormatting>
  <conditionalFormatting sqref="B52:R52">
    <cfRule type="expression" dxfId="120" priority="3">
      <formula>NOT($T$31)</formula>
    </cfRule>
  </conditionalFormatting>
  <conditionalFormatting sqref="I54:J54">
    <cfRule type="expression" dxfId="119" priority="2">
      <formula>$T$31</formula>
    </cfRule>
  </conditionalFormatting>
  <conditionalFormatting sqref="B50:R50">
    <cfRule type="expression" dxfId="118" priority="1">
      <formula>$T$31</formula>
    </cfRule>
  </conditionalFormatting>
  <dataValidations count="11">
    <dataValidation type="list" operator="equal" allowBlank="1" showErrorMessage="1" errorTitle="Invalid Tech Level" error="The tech level entered is not applicable to this unit. Please select from the drop down menu or enter a valid value." sqref="AI33:AJ34 E33:F34 E37:F37 E44:F44 AI48:AJ49" xr:uid="{FD0BE3FE-2966-4692-A398-AE4D3B8649C9}">
      <formula1>"0,1,2,3"</formula1>
      <formula2>0</formula2>
    </dataValidation>
    <dataValidation type="list" operator="equal" allowBlank="1" showErrorMessage="1" errorTitle="Invalid Tech Level" error="The tech level entered is not applicable to this unit. Please select from the drop down menu or enter a valid value." sqref="E38" xr:uid="{48AD6D5D-DDF0-4F24-861E-6EB6E93DA8C6}">
      <formula1>"1,2,3"</formula1>
      <formula2>0</formula2>
    </dataValidation>
    <dataValidation type="list" operator="equal" allowBlank="1" showErrorMessage="1" errorTitle="Invalid Tech Level" error="The tech level entered is not applicable to this unit. Please select from the drop down menu or enter a valid value." sqref="AI37 E43 AI52" xr:uid="{1AB40DEF-F4CC-4258-9896-C6EBA01DE263}">
      <formula1>"0,1"</formula1>
      <formula2>0</formula2>
    </dataValidation>
    <dataValidation type="list" operator="equal" allowBlank="1" showErrorMessage="1" errorTitle="Invalid Tech Level" error="The tech level entered is not applicable to this unit. Please select from the drop down menu or enter a valid value." sqref="AI35:AJ36 AI38 E41:F42 AI50:AJ51 AI53" xr:uid="{3172FC33-85C8-42DB-941E-DAD715370B99}">
      <formula1>"0,1,2"</formula1>
      <formula2>0</formula2>
    </dataValidation>
    <dataValidation type="list" operator="equal" allowBlank="1" showErrorMessage="1" errorTitle="Invalid Tech Level" error="The tech level entered is not applicable to this unit. Please select from the drop down menu or enter a valid value." sqref="E31:F31 E35:F35" xr:uid="{393C1294-82EE-4C65-8CE6-926F848DB2D2}">
      <formula1>"1,2,3,4,5,6,7"</formula1>
    </dataValidation>
    <dataValidation type="list" operator="equal" allowBlank="1" showErrorMessage="1" errorTitle="Invalid Tech Level" error="The tech level entered is not applicable to this unit. Please select from the drop down menu or enter a valid value." sqref="E32:F32 E36:F36" xr:uid="{C0D40FF0-D657-45FA-B5E2-B26634F66460}">
      <formula1>"0,1,2,3,4"</formula1>
    </dataValidation>
    <dataValidation type="list" operator="equal" allowBlank="1" showErrorMessage="1" errorTitle="Invalid Tech Level" error="The tech level entered is not applicable to this unit. Please select from the drop down menu or enter a valid value." sqref="E39:F39 E53:F53 E49:F49 E50:F50 E51:F51 E52:F52 E54:F54" xr:uid="{26D44971-05CF-4272-8B4A-89870E62F59F}">
      <formula1>"0,1,2"</formula1>
    </dataValidation>
    <dataValidation type="list" operator="equal" allowBlank="1" showErrorMessage="1" errorTitle="Invalid Tech Level" error="The tech level entered is not applicable to this unit. Please select from the drop down menu or enter a valid value." sqref="E40:F40" xr:uid="{915F8307-CB2D-4069-9A9F-AE70C4EEA554}">
      <formula1>"0,1,2,"</formula1>
    </dataValidation>
    <dataValidation type="list" operator="equal" allowBlank="1" showErrorMessage="1" errorTitle="Invalid Tech Level" error="The tech level entered is not applicable to this unit. Please select from the drop down menu or enter a valid value." sqref="E46:F46 E38:F38" xr:uid="{BF3EA7DC-9D5A-42F8-9BA0-B88C134E8F93}">
      <formula1>"1,2,3"</formula1>
    </dataValidation>
    <dataValidation type="list" operator="equal" allowBlank="1" showErrorMessage="1" errorTitle="Invalid Tech Level" error="The tech level entered is not applicable to this unit. Please select from the drop down menu or enter a valid value." sqref="E47:F47" xr:uid="{C42CE6AE-0C53-4298-9AB4-8DD30C93EA52}">
      <formula1>"0,1,2,3"</formula1>
    </dataValidation>
    <dataValidation type="list" operator="equal" allowBlank="1" showErrorMessage="1" errorTitle="Invalid Tech Level" error="The tech level entered is not applicable to this unit. Please select from the drop down menu or enter a valid value." sqref="E48:F48 E55:F55 E56:F56" xr:uid="{F9D8B8A7-11DB-4117-993A-3938620E6BE1}">
      <formula1>"0,1"</formula1>
    </dataValidation>
  </dataValidations>
  <pageMargins left="0.78749999999999998" right="0.78749999999999998" top="0.78749999999999998" bottom="0.78749999999999998" header="0.51180555555555551" footer="0.51180555555555551"/>
  <pageSetup orientation="landscape" useFirstPageNumber="1" horizontalDpi="300" verticalDpi="300" r:id="rId1"/>
  <headerFooter alignWithMargins="0"/>
  <ignoredErrors>
    <ignoredError sqref="C7" formulaRange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8" r:id="rId4" name="Check Box 10">
              <controlPr defaultSize="0" autoFill="0" autoLine="0" autoPict="0">
                <anchor moveWithCells="1">
                  <from>
                    <xdr:col>20</xdr:col>
                    <xdr:colOff>38100</xdr:colOff>
                    <xdr:row>29</xdr:row>
                    <xdr:rowOff>285750</xdr:rowOff>
                  </from>
                  <to>
                    <xdr:col>23</xdr:col>
                    <xdr:colOff>76200</xdr:colOff>
                    <xdr:row>31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9947-EA6E-45D5-841F-834D23521668}">
  <sheetPr>
    <pageSetUpPr fitToPage="1"/>
  </sheetPr>
  <dimension ref="A1:S100"/>
  <sheetViews>
    <sheetView tabSelected="1" defaultGridColor="0" colorId="27" zoomScaleNormal="100" workbookViewId="0">
      <selection activeCell="P110" sqref="P110"/>
    </sheetView>
  </sheetViews>
  <sheetFormatPr defaultColWidth="11.54296875" defaultRowHeight="12.5" x14ac:dyDescent="0.25"/>
  <cols>
    <col min="1" max="1" width="3.6328125" customWidth="1"/>
    <col min="2" max="3" width="3.08984375" customWidth="1"/>
    <col min="4" max="5" width="0.81640625" customWidth="1"/>
    <col min="6" max="6" width="10.6328125" customWidth="1"/>
    <col min="7" max="10" width="7.6328125" customWidth="1"/>
    <col min="11" max="11" width="5.6328125" customWidth="1"/>
    <col min="12" max="12" width="15.6328125" customWidth="1"/>
    <col min="13" max="13" width="5.6328125" customWidth="1"/>
    <col min="14" max="14" width="15.6328125" customWidth="1"/>
    <col min="15" max="15" width="5.6328125" customWidth="1"/>
    <col min="16" max="17" width="15.6328125" customWidth="1"/>
    <col min="18" max="18" width="3.6328125" customWidth="1"/>
    <col min="19" max="19" width="11.54296875" style="165"/>
  </cols>
  <sheetData>
    <row r="1" spans="1:19" ht="23.15" customHeight="1" thickBot="1" x14ac:dyDescent="0.3">
      <c r="F1" s="164" t="s">
        <v>23</v>
      </c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1"/>
    </row>
    <row r="2" spans="1:19" ht="13.5" x14ac:dyDescent="0.3">
      <c r="F2" s="51" t="s">
        <v>69</v>
      </c>
      <c r="G2" s="52" t="s">
        <v>24</v>
      </c>
      <c r="H2" s="52" t="s">
        <v>25</v>
      </c>
      <c r="I2" s="52" t="s">
        <v>26</v>
      </c>
      <c r="J2" s="52" t="s">
        <v>27</v>
      </c>
      <c r="K2" s="61" t="s">
        <v>135</v>
      </c>
      <c r="L2" s="161" t="s">
        <v>28</v>
      </c>
      <c r="M2" s="162"/>
      <c r="N2" s="162"/>
      <c r="O2" s="163"/>
      <c r="P2" s="71" t="s">
        <v>141</v>
      </c>
      <c r="Q2" s="72" t="s">
        <v>134</v>
      </c>
      <c r="R2" s="12"/>
    </row>
    <row r="3" spans="1:19" ht="13" x14ac:dyDescent="0.3">
      <c r="E3" s="48"/>
      <c r="F3" s="53" t="s">
        <v>73</v>
      </c>
      <c r="G3" s="44">
        <f>IF('SE4X Production'!$E$32&lt;=1,'SE4X Production'!$E$32,0)</f>
        <v>0</v>
      </c>
      <c r="H3" s="44">
        <f>IF('SE4X Production'!$E$33&lt;=1,'SE4X Production'!$E$33,0)</f>
        <v>0</v>
      </c>
      <c r="I3" s="44">
        <f>'SE4X Production'!$E$34</f>
        <v>0</v>
      </c>
      <c r="J3" s="44"/>
      <c r="K3" s="44"/>
      <c r="L3" s="45" t="s">
        <v>74</v>
      </c>
      <c r="M3" s="44">
        <f>'SE4X Production'!$E38</f>
        <v>1</v>
      </c>
      <c r="N3" s="45"/>
      <c r="O3" s="44"/>
      <c r="P3" s="76"/>
      <c r="Q3" s="75"/>
      <c r="R3" s="47" t="b">
        <v>1</v>
      </c>
    </row>
    <row r="4" spans="1:19" ht="13" x14ac:dyDescent="0.3">
      <c r="F4" s="53" t="str">
        <f xml:space="preserve"> IF('SE4X Production'!$E$47&gt;=1," AdvBase"," Base")</f>
        <v xml:space="preserve"> Base</v>
      </c>
      <c r="G4" s="44">
        <f>IF('SE4X Production'!$E$32&lt;=3,'SE4X Production'!$E$32,0)</f>
        <v>0</v>
      </c>
      <c r="H4" s="44">
        <f>IF('SE4X Production'!$E$33&lt;=3,'SE4X Production'!$E$33,0)</f>
        <v>0</v>
      </c>
      <c r="I4" s="44">
        <f>'SE4X Production'!$E$34</f>
        <v>0</v>
      </c>
      <c r="J4" s="44"/>
      <c r="K4" s="44"/>
      <c r="L4" s="45" t="str">
        <f>IF('SE4X Production'!$E$47&gt;=1," Exploration","")</f>
        <v/>
      </c>
      <c r="M4" s="44" t="str">
        <f>IF('SE4X Production'!$E$47&gt;=1,'SE4X Production'!$E$40,"")</f>
        <v/>
      </c>
      <c r="N4" s="45" t="str">
        <f>IF('SE4X Production'!$E$47&gt;=1," Scanners","")</f>
        <v/>
      </c>
      <c r="O4" s="44" t="str">
        <f>IF('SE4X Production'!$E$47&gt;=1,'SE4X Production'!$E$42,"")</f>
        <v/>
      </c>
      <c r="P4" s="76"/>
      <c r="Q4" s="75"/>
      <c r="R4" s="47" t="b">
        <v>0</v>
      </c>
    </row>
    <row r="5" spans="1:19" ht="13" x14ac:dyDescent="0.3">
      <c r="F5" s="53" t="s">
        <v>142</v>
      </c>
      <c r="G5" s="44">
        <f>'SE4X Production'!$E$32</f>
        <v>0</v>
      </c>
      <c r="H5" s="44">
        <f>'SE4X Production'!$E$33</f>
        <v>0</v>
      </c>
      <c r="I5" s="44">
        <f>'SE4X Production'!$E$34</f>
        <v>0</v>
      </c>
      <c r="J5" s="44"/>
      <c r="K5" s="44"/>
      <c r="L5" s="45" t="s">
        <v>22</v>
      </c>
      <c r="M5" s="44">
        <f>'SE4X Production'!$E$40</f>
        <v>0</v>
      </c>
      <c r="N5" s="45" t="s">
        <v>74</v>
      </c>
      <c r="O5" s="44">
        <f>'SE4X Production'!$E38</f>
        <v>1</v>
      </c>
      <c r="P5" s="76"/>
      <c r="Q5" s="75"/>
      <c r="R5" s="47" t="b">
        <v>0</v>
      </c>
    </row>
    <row r="6" spans="1:19" ht="13" x14ac:dyDescent="0.3">
      <c r="F6" s="53" t="s">
        <v>136</v>
      </c>
      <c r="G6" s="44">
        <f>IF('SE4X Production'!$E$32&lt;=3,'SE4X Production'!$E$32,0)</f>
        <v>0</v>
      </c>
      <c r="H6" s="44">
        <f>IF('SE4X Production'!$E$33&lt;=3,'SE4X Production'!$E$33,0)</f>
        <v>0</v>
      </c>
      <c r="I6" s="44">
        <f>'SE4X Production'!$E$34</f>
        <v>0</v>
      </c>
      <c r="J6" s="44"/>
      <c r="K6" s="44"/>
      <c r="L6" s="45"/>
      <c r="M6" s="44"/>
      <c r="N6" s="45"/>
      <c r="O6" s="44"/>
      <c r="P6" s="76"/>
      <c r="Q6" s="167"/>
      <c r="R6" s="47" t="b">
        <v>0</v>
      </c>
    </row>
    <row r="7" spans="1:19" ht="13.5" customHeight="1" x14ac:dyDescent="0.3">
      <c r="A7" s="47" t="b">
        <v>0</v>
      </c>
      <c r="D7" t="b">
        <v>0</v>
      </c>
      <c r="E7" s="48"/>
      <c r="F7" s="62" t="str">
        <f>IF('SE4X Production'!$E$47&gt;=3," AdvFlag"," Flag")</f>
        <v xml:space="preserve"> Flag</v>
      </c>
      <c r="G7" s="63">
        <f>IF(A7,IF(D7,MIN('SE4X Production'!$E$32,3),G7),0)</f>
        <v>0</v>
      </c>
      <c r="H7" s="63">
        <f>IF(A7,IF(D7,MIN('SE4X Production'!$E$33,3),H7),0)</f>
        <v>0</v>
      </c>
      <c r="I7" s="65">
        <f>IF(A7,IF(D7,MIN('SE4X Production'!$E$34,3),I7),0)</f>
        <v>0</v>
      </c>
      <c r="J7" s="65">
        <f>IF(A7,IF(D7,MIN('SE4X Production'!$E$35,7),J7),1)</f>
        <v>1</v>
      </c>
      <c r="K7" s="63" t="str">
        <f>IF(A7,IF(D7,IF(J7&gt;=4,"+",""),K7),"")</f>
        <v/>
      </c>
      <c r="L7" s="64" t="s">
        <v>22</v>
      </c>
      <c r="M7" s="63">
        <f>IF(A7,IF(D7,MIN('SE4X Production'!$E$40,2),M7),0)</f>
        <v>0</v>
      </c>
      <c r="N7" s="64" t="str">
        <f>IF(NOT('SE4X Production'!$T$31)," Fast 1",IF(ISTEXT(P27),P27,""))</f>
        <v xml:space="preserve"> Fast 1</v>
      </c>
      <c r="O7" s="49">
        <f>IF(A7,IF(D7,IF(NOT('SE4X Production'!$T$31),MIN('SE4X Production'!$E$54,1),1),O7),0)</f>
        <v>0</v>
      </c>
      <c r="P7" s="77"/>
      <c r="Q7" s="168"/>
      <c r="R7" s="47"/>
      <c r="S7" s="165" t="s">
        <v>200</v>
      </c>
    </row>
    <row r="8" spans="1:19" ht="13.5" customHeight="1" x14ac:dyDescent="0.3">
      <c r="A8" s="47" t="b">
        <v>0</v>
      </c>
      <c r="D8" s="47" t="b">
        <v>0</v>
      </c>
      <c r="E8" s="54"/>
      <c r="F8" s="41" t="s">
        <v>64</v>
      </c>
      <c r="G8" s="42">
        <f>IF(A8,IF(D8,MIN('SE4X Production'!$E$32,1),G8),0)</f>
        <v>0</v>
      </c>
      <c r="H8" s="42">
        <f>IF(A8,IF(D8,MIN('SE4X Production'!$E$33,1),H8),0)</f>
        <v>0</v>
      </c>
      <c r="I8" s="42">
        <f>IF(A8,IF(D8,MIN('SE4X Production'!$E$34,3),I8),0)</f>
        <v>0</v>
      </c>
      <c r="J8" s="42">
        <f>IF(A8,IF(D8,MIN('SE4X Production'!$E$35,7),J8),1)</f>
        <v>1</v>
      </c>
      <c r="K8" s="73" t="str">
        <f>IF(A8,IF(D8,IF(J8&gt;=3,"+",""),K8),"")</f>
        <v/>
      </c>
      <c r="L8" s="43" t="s">
        <v>15</v>
      </c>
      <c r="M8" s="42">
        <f>IF(A8,IF(D8,MIN('SE4X Production'!$E$37,3),M8),0)</f>
        <v>0</v>
      </c>
      <c r="N8" s="66"/>
      <c r="O8" s="42"/>
      <c r="P8" s="78"/>
      <c r="Q8" s="168"/>
      <c r="R8" s="47" t="b">
        <v>1</v>
      </c>
      <c r="S8" s="165" t="s">
        <v>178</v>
      </c>
    </row>
    <row r="9" spans="1:19" ht="13.5" customHeight="1" x14ac:dyDescent="0.3">
      <c r="A9" s="47" t="b">
        <v>0</v>
      </c>
      <c r="D9" s="47" t="b">
        <v>0</v>
      </c>
      <c r="E9" s="54"/>
      <c r="F9" s="41" t="s">
        <v>65</v>
      </c>
      <c r="G9" s="42">
        <f>IF(A9,IF(D9,MIN('SE4X Production'!$E$32,1),G9),0)</f>
        <v>0</v>
      </c>
      <c r="H9" s="42">
        <f>IF(A9,IF(D9,MIN('SE4X Production'!$E$33,1),H9),0)</f>
        <v>0</v>
      </c>
      <c r="I9" s="42">
        <f>IF(A9,IF(D9,MIN('SE4X Production'!$E$34,3),I9),0)</f>
        <v>0</v>
      </c>
      <c r="J9" s="42">
        <f>IF(A9,IF(D9,MIN('SE4X Production'!$E$35,7),J9),1)</f>
        <v>1</v>
      </c>
      <c r="K9" s="73" t="str">
        <f t="shared" ref="K9:K26" si="0">IF(A9,IF(D9,IF(J9&gt;=3,"+",""),K9),"")</f>
        <v/>
      </c>
      <c r="L9" s="43" t="s">
        <v>15</v>
      </c>
      <c r="M9" s="42">
        <f>IF(A9,IF(D9,MIN('SE4X Production'!$E$37,3),M9),0)</f>
        <v>0</v>
      </c>
      <c r="N9" s="66"/>
      <c r="O9" s="42"/>
      <c r="P9" s="78"/>
      <c r="Q9" s="168"/>
      <c r="R9" s="47" t="b">
        <v>0</v>
      </c>
      <c r="S9" s="165" t="s">
        <v>201</v>
      </c>
    </row>
    <row r="10" spans="1:19" ht="13.5" customHeight="1" x14ac:dyDescent="0.3">
      <c r="A10" s="47" t="b">
        <v>0</v>
      </c>
      <c r="D10" s="47" t="b">
        <v>0</v>
      </c>
      <c r="E10" s="54"/>
      <c r="F10" s="41" t="s">
        <v>66</v>
      </c>
      <c r="G10" s="42">
        <f>IF(A10,IF(D10,MIN('SE4X Production'!$E$32,1),G10),0)</f>
        <v>0</v>
      </c>
      <c r="H10" s="42">
        <f>IF(A10,IF(D10,MIN('SE4X Production'!$E$33,1),H10),0)</f>
        <v>0</v>
      </c>
      <c r="I10" s="42">
        <f>IF(A10,IF(D10,MIN('SE4X Production'!$E$34,3),I10),0)</f>
        <v>0</v>
      </c>
      <c r="J10" s="42">
        <f>IF(A10,IF(D10,MIN('SE4X Production'!$E$35,7),J10),1)</f>
        <v>1</v>
      </c>
      <c r="K10" s="73" t="str">
        <f t="shared" si="0"/>
        <v/>
      </c>
      <c r="L10" s="43" t="s">
        <v>15</v>
      </c>
      <c r="M10" s="42">
        <f>IF(A10,IF(D10,MIN('SE4X Production'!$E$37,3),M10),0)</f>
        <v>0</v>
      </c>
      <c r="N10" s="66"/>
      <c r="O10" s="42"/>
      <c r="P10" s="78"/>
      <c r="Q10" s="168"/>
      <c r="R10" s="47" t="b">
        <v>0</v>
      </c>
      <c r="S10" s="165" t="s">
        <v>192</v>
      </c>
    </row>
    <row r="11" spans="1:19" ht="13.5" customHeight="1" x14ac:dyDescent="0.3">
      <c r="A11" s="47" t="b">
        <v>0</v>
      </c>
      <c r="D11" s="47" t="b">
        <v>0</v>
      </c>
      <c r="E11" s="54"/>
      <c r="F11" s="41" t="s">
        <v>67</v>
      </c>
      <c r="G11" s="42">
        <f>IF(A11,IF(D11,MIN('SE4X Production'!$E$32,1),G11),0)</f>
        <v>0</v>
      </c>
      <c r="H11" s="42">
        <f>IF(A11,IF(D11,MIN('SE4X Production'!$E$33,1),H11),0)</f>
        <v>0</v>
      </c>
      <c r="I11" s="42">
        <f>IF(A11,IF(D11,MIN('SE4X Production'!$E$34,3),I11),0)</f>
        <v>0</v>
      </c>
      <c r="J11" s="42">
        <f>IF(A11,IF(D11,MIN('SE4X Production'!$E$35,7),J11),1)</f>
        <v>1</v>
      </c>
      <c r="K11" s="73" t="str">
        <f t="shared" si="0"/>
        <v/>
      </c>
      <c r="L11" s="43" t="s">
        <v>15</v>
      </c>
      <c r="M11" s="42">
        <f>IF(A11,IF(D11,MIN('SE4X Production'!$E$37,3),M11),0)</f>
        <v>0</v>
      </c>
      <c r="N11" s="66"/>
      <c r="O11" s="42"/>
      <c r="P11" s="78"/>
      <c r="Q11" s="168"/>
      <c r="R11" s="47" t="b">
        <v>0</v>
      </c>
      <c r="S11" s="165" t="s">
        <v>202</v>
      </c>
    </row>
    <row r="12" spans="1:19" ht="13.5" customHeight="1" x14ac:dyDescent="0.3">
      <c r="A12" s="47" t="b">
        <v>0</v>
      </c>
      <c r="D12" s="47" t="b">
        <v>0</v>
      </c>
      <c r="E12" s="54"/>
      <c r="F12" s="41" t="s">
        <v>68</v>
      </c>
      <c r="G12" s="42">
        <f>IF(A12,IF(D12,MIN('SE4X Production'!$E$32,1),G12),0)</f>
        <v>0</v>
      </c>
      <c r="H12" s="42">
        <f>IF(A12,IF(D12,MIN('SE4X Production'!$E$33,1),H12),0)</f>
        <v>0</v>
      </c>
      <c r="I12" s="42">
        <f>IF(A12,IF(D12,MIN('SE4X Production'!$E$34,3),I12),0)</f>
        <v>0</v>
      </c>
      <c r="J12" s="42">
        <f>IF(A12,IF(D12,MIN('SE4X Production'!$E$35,7),J12),1)</f>
        <v>1</v>
      </c>
      <c r="K12" s="73" t="str">
        <f t="shared" si="0"/>
        <v/>
      </c>
      <c r="L12" s="43" t="s">
        <v>15</v>
      </c>
      <c r="M12" s="42">
        <f>IF(A12,IF(D12,MIN('SE4X Production'!$E$37,3),M12),0)</f>
        <v>0</v>
      </c>
      <c r="N12" s="66"/>
      <c r="O12" s="42"/>
      <c r="P12" s="78"/>
      <c r="Q12" s="168"/>
      <c r="R12" s="47" t="b">
        <v>0</v>
      </c>
      <c r="S12" s="165" t="s">
        <v>177</v>
      </c>
    </row>
    <row r="13" spans="1:19" ht="13.5" customHeight="1" x14ac:dyDescent="0.3">
      <c r="A13" s="47" t="b">
        <v>0</v>
      </c>
      <c r="D13" s="47" t="b">
        <v>0</v>
      </c>
      <c r="E13" s="54"/>
      <c r="F13" s="41" t="s">
        <v>75</v>
      </c>
      <c r="G13" s="42">
        <f>IF(A13,IF(D13,MIN('SE4X Production'!$E$32,1),G13),0)</f>
        <v>0</v>
      </c>
      <c r="H13" s="42">
        <f>IF(A13,IF(D13,MIN('SE4X Production'!$E$33,1),H13),0)</f>
        <v>0</v>
      </c>
      <c r="I13" s="42">
        <f>IF(A13,IF(D13,MIN('SE4X Production'!$E$34,3),I13),0)</f>
        <v>0</v>
      </c>
      <c r="J13" s="42">
        <f>IF(A13,IF(D13,MIN('SE4X Production'!$E$35,7),J13),1)</f>
        <v>1</v>
      </c>
      <c r="K13" s="73" t="str">
        <f t="shared" si="0"/>
        <v/>
      </c>
      <c r="L13" s="43" t="s">
        <v>15</v>
      </c>
      <c r="M13" s="42">
        <f>IF(A13,IF(D13,MIN('SE4X Production'!$E$37,3),M13),0)</f>
        <v>0</v>
      </c>
      <c r="N13" s="66"/>
      <c r="O13" s="42"/>
      <c r="P13" s="78"/>
      <c r="Q13" s="168"/>
      <c r="R13" s="47" t="b">
        <v>0</v>
      </c>
      <c r="S13" s="165" t="s">
        <v>198</v>
      </c>
    </row>
    <row r="14" spans="1:19" ht="13.5" customHeight="1" x14ac:dyDescent="0.3">
      <c r="A14" s="47" t="b">
        <v>0</v>
      </c>
      <c r="D14" s="47" t="b">
        <v>0</v>
      </c>
      <c r="E14" s="47"/>
      <c r="F14" s="41" t="s">
        <v>140</v>
      </c>
      <c r="G14" s="42">
        <f>IF(A14,IF(D14,MIN('SE4X Production'!$E$32,1),G14),0)</f>
        <v>0</v>
      </c>
      <c r="H14" s="42">
        <f>IF(A14,IF(D14,MIN('SE4X Production'!$E$33,1),H14),0)</f>
        <v>0</v>
      </c>
      <c r="I14" s="42">
        <f>IF(A14,IF(D14,MIN('SE4X Production'!$E$34,3),I14),0)</f>
        <v>0</v>
      </c>
      <c r="J14" s="42">
        <f>IF(A14,IF(D14,MIN('SE4X Production'!$E$35+3,7),J14),1)</f>
        <v>1</v>
      </c>
      <c r="K14" s="73" t="str">
        <f t="shared" si="0"/>
        <v/>
      </c>
      <c r="L14" s="43" t="s">
        <v>15</v>
      </c>
      <c r="M14" s="42">
        <f>IF(A14,IF(D14,MIN('SE4X Production'!$E$37,3),M14),0)</f>
        <v>0</v>
      </c>
      <c r="N14" s="66"/>
      <c r="O14" s="42"/>
      <c r="P14" s="78"/>
      <c r="Q14" s="168"/>
      <c r="R14" s="47" t="b">
        <v>0</v>
      </c>
      <c r="S14" s="185" t="s">
        <v>203</v>
      </c>
    </row>
    <row r="15" spans="1:19" ht="13.5" customHeight="1" x14ac:dyDescent="0.3">
      <c r="A15" s="47" t="b">
        <v>0</v>
      </c>
      <c r="D15" s="47" t="b">
        <v>0</v>
      </c>
      <c r="E15" s="47"/>
      <c r="F15" s="10" t="s">
        <v>29</v>
      </c>
      <c r="G15" s="49">
        <f>IF(A15,IF(D15,IF('SE4X Production'!$E$47&lt;1,MIN('SE4X Production'!$E$32,1),MIN('SE4X Production'!$E$32,2)),G15),0)</f>
        <v>0</v>
      </c>
      <c r="H15" s="49">
        <f>IF(A15,IF(D15,IF('SE4X Production'!$E$47&lt;1,MIN('SE4X Production'!$E$33,1),MIN('SE4X Production'!$E$33,2)),H15),0)</f>
        <v>0</v>
      </c>
      <c r="I15" s="49">
        <f>IF(A15,IF(D15,MIN('SE4X Production'!$E$34,3),I15),0)</f>
        <v>0</v>
      </c>
      <c r="J15" s="65">
        <f>IF(A15,IF(D15,MIN('SE4X Production'!$E$35,7),J15),1)</f>
        <v>1</v>
      </c>
      <c r="K15" s="81" t="str">
        <f t="shared" si="0"/>
        <v/>
      </c>
      <c r="L15" s="39" t="s">
        <v>19</v>
      </c>
      <c r="M15" s="49">
        <f>IF(A15,IF(D15,MIN('SE4X Production'!$E$42,2),M15),0)</f>
        <v>0</v>
      </c>
      <c r="N15" s="67" t="str">
        <f>IF(A15,IF(D15,IF('SE4X Production'!$E$47&gt;=1," Fast 2",""),N15),"")</f>
        <v/>
      </c>
      <c r="O15" s="49" t="str">
        <f>IF(A15,IF(D15,IF('SE4X Production'!$E$47&gt;=1,IF('SE4X Production'!$E$54&gt;=2,2,0),""),O15),"")</f>
        <v/>
      </c>
      <c r="P15" s="77" t="str">
        <f>IF(A15,IF(D15,IF('SE4X Production'!$E$47&gt;=1,"Heavy Wayheads",""),P15),"")</f>
        <v/>
      </c>
      <c r="Q15" s="168"/>
      <c r="R15" s="47" t="b">
        <v>0</v>
      </c>
      <c r="S15" s="165" t="s">
        <v>204</v>
      </c>
    </row>
    <row r="16" spans="1:19" ht="13.5" customHeight="1" x14ac:dyDescent="0.3">
      <c r="A16" s="47" t="b">
        <v>0</v>
      </c>
      <c r="D16" s="47" t="b">
        <v>0</v>
      </c>
      <c r="E16" s="47"/>
      <c r="F16" s="10" t="s">
        <v>30</v>
      </c>
      <c r="G16" s="49">
        <f>IF(A16,IF(D16,IF('SE4X Production'!$E$47&lt;1,MIN('SE4X Production'!$E$32,1),MIN('SE4X Production'!$E$32,2)),G16),0)</f>
        <v>0</v>
      </c>
      <c r="H16" s="49">
        <f>IF(A16,IF(D16,IF('SE4X Production'!$E$47&lt;1,MIN('SE4X Production'!$E$33,1),MIN('SE4X Production'!$E$33,2)),H16),0)</f>
        <v>0</v>
      </c>
      <c r="I16" s="49">
        <f>IF(A16,IF(D16,MIN('SE4X Production'!$E$34,3),I16),0)</f>
        <v>0</v>
      </c>
      <c r="J16" s="65">
        <f>IF(A16,IF(D16,MIN('SE4X Production'!$E$35,7),J16),1)</f>
        <v>1</v>
      </c>
      <c r="K16" s="81" t="str">
        <f t="shared" si="0"/>
        <v/>
      </c>
      <c r="L16" s="39" t="s">
        <v>19</v>
      </c>
      <c r="M16" s="49">
        <f>IF(A16,IF(D16,MIN('SE4X Production'!$E$42,2),M16),0)</f>
        <v>0</v>
      </c>
      <c r="N16" s="67" t="str">
        <f>IF(A16,IF(D16,IF('SE4X Production'!$E$47&gt;=1," Fast 2",""),N16),"")</f>
        <v/>
      </c>
      <c r="O16" s="49" t="str">
        <f>IF(A16,IF(D16,IF('SE4X Production'!$E$47&gt;=1,IF('SE4X Production'!$E$54&gt;=2,2,0),""),O16),"")</f>
        <v/>
      </c>
      <c r="P16" s="77" t="str">
        <f>IF(A16,IF(D16,IF('SE4X Production'!$E$47&gt;=1,"Heavy Wayheads",""),P16),"")</f>
        <v/>
      </c>
      <c r="Q16" s="168"/>
      <c r="R16" s="47" t="b">
        <v>0</v>
      </c>
      <c r="S16" s="165" t="s">
        <v>190</v>
      </c>
    </row>
    <row r="17" spans="1:19" ht="13.5" customHeight="1" x14ac:dyDescent="0.3">
      <c r="A17" s="47" t="b">
        <v>0</v>
      </c>
      <c r="D17" s="47" t="b">
        <v>0</v>
      </c>
      <c r="E17" s="47"/>
      <c r="F17" s="10" t="s">
        <v>31</v>
      </c>
      <c r="G17" s="49">
        <f>IF(A17,IF(D17,IF('SE4X Production'!$E$47&lt;1,MIN('SE4X Production'!$E$32,1),MIN('SE4X Production'!$E$32,2)),G17),0)</f>
        <v>0</v>
      </c>
      <c r="H17" s="49">
        <f>IF(A17,IF(D17,IF('SE4X Production'!$E$47&lt;1,MIN('SE4X Production'!$E$33,1),MIN('SE4X Production'!$E$33,2)),H17),0)</f>
        <v>0</v>
      </c>
      <c r="I17" s="49">
        <f>IF(A17,IF(D17,MIN('SE4X Production'!$E$34,3),I17),0)</f>
        <v>0</v>
      </c>
      <c r="J17" s="65">
        <f>IF(A17,IF(D17,MIN('SE4X Production'!$E$35,7),J17),1)</f>
        <v>1</v>
      </c>
      <c r="K17" s="81" t="str">
        <f t="shared" si="0"/>
        <v/>
      </c>
      <c r="L17" s="39" t="s">
        <v>19</v>
      </c>
      <c r="M17" s="49">
        <f>IF(A17,IF(D17,MIN('SE4X Production'!$E$42,2),M17),0)</f>
        <v>0</v>
      </c>
      <c r="N17" s="67" t="str">
        <f>IF(A17,IF(D17,IF('SE4X Production'!$E$47&gt;=1," Fast 2",""),N17),"")</f>
        <v/>
      </c>
      <c r="O17" s="49" t="str">
        <f>IF(A17,IF(D17,IF('SE4X Production'!$E$47&gt;=1,IF('SE4X Production'!$E$54&gt;=2,2,0),""),O17),"")</f>
        <v/>
      </c>
      <c r="P17" s="77" t="str">
        <f>IF(A17,IF(D17,IF('SE4X Production'!$E$47&gt;=1,"Heavy Wayheads",""),P17),"")</f>
        <v/>
      </c>
      <c r="Q17" s="168"/>
      <c r="R17" s="47" t="b">
        <v>0</v>
      </c>
      <c r="S17" s="165" t="s">
        <v>205</v>
      </c>
    </row>
    <row r="18" spans="1:19" ht="13.5" customHeight="1" x14ac:dyDescent="0.3">
      <c r="A18" s="47" t="b">
        <v>0</v>
      </c>
      <c r="D18" s="47" t="b">
        <v>0</v>
      </c>
      <c r="E18" s="47"/>
      <c r="F18" s="10" t="s">
        <v>32</v>
      </c>
      <c r="G18" s="49">
        <f>IF(A18,IF(D18,IF('SE4X Production'!$E$47&lt;1,MIN('SE4X Production'!$E$32,1),MIN('SE4X Production'!$E$32,2)),G18),0)</f>
        <v>0</v>
      </c>
      <c r="H18" s="49">
        <f>IF(A18,IF(D18,IF('SE4X Production'!$E$47&lt;1,MIN('SE4X Production'!$E$33,1),MIN('SE4X Production'!$E$33,2)),H18),0)</f>
        <v>0</v>
      </c>
      <c r="I18" s="49">
        <f>IF(A18,IF(D18,MIN('SE4X Production'!$E$34,3),I18),0)</f>
        <v>0</v>
      </c>
      <c r="J18" s="65">
        <f>IF(A18,IF(D18,MIN('SE4X Production'!$E$35,7),J18),1)</f>
        <v>1</v>
      </c>
      <c r="K18" s="81" t="str">
        <f t="shared" si="0"/>
        <v/>
      </c>
      <c r="L18" s="39" t="s">
        <v>19</v>
      </c>
      <c r="M18" s="49">
        <f>IF(A18,IF(D18,MIN('SE4X Production'!$E$42,2),M18),0)</f>
        <v>0</v>
      </c>
      <c r="N18" s="67" t="str">
        <f>IF(A18,IF(D18,IF('SE4X Production'!$E$47&gt;=1," Fast 2",""),N18),"")</f>
        <v/>
      </c>
      <c r="O18" s="49" t="str">
        <f>IF(A18,IF(D18,IF('SE4X Production'!$E$47&gt;=1,IF('SE4X Production'!$E$54&gt;=2,2,0),""),O18),"")</f>
        <v/>
      </c>
      <c r="P18" s="77" t="str">
        <f>IF(A18,IF(D18,IF('SE4X Production'!$E$47&gt;=1,"Heavy Wayheads",""),P18),"")</f>
        <v/>
      </c>
      <c r="Q18" s="168"/>
      <c r="R18" s="47" t="b">
        <v>0</v>
      </c>
      <c r="S18" s="165" t="s">
        <v>194</v>
      </c>
    </row>
    <row r="19" spans="1:19" ht="13.5" customHeight="1" x14ac:dyDescent="0.3">
      <c r="A19" s="47" t="b">
        <v>0</v>
      </c>
      <c r="D19" s="47" t="b">
        <v>0</v>
      </c>
      <c r="E19" s="47"/>
      <c r="F19" s="10" t="s">
        <v>76</v>
      </c>
      <c r="G19" s="49">
        <f>IF(A19,IF(D19,IF('SE4X Production'!$E$47&lt;1,MIN('SE4X Production'!$E$32,1),MIN('SE4X Production'!$E$32,2)),G19),0)</f>
        <v>0</v>
      </c>
      <c r="H19" s="49">
        <f>IF(A19,IF(D19,IF('SE4X Production'!$E$47&lt;1,MIN('SE4X Production'!$E$33,1),MIN('SE4X Production'!$E$33,2)),H19),0)</f>
        <v>0</v>
      </c>
      <c r="I19" s="49">
        <f>IF(A19,IF(D19,MIN('SE4X Production'!$E$34,3),I19),0)</f>
        <v>0</v>
      </c>
      <c r="J19" s="65">
        <f>IF(A19,IF(D19,MIN('SE4X Production'!$E$35,7),J19),1)</f>
        <v>1</v>
      </c>
      <c r="K19" s="81" t="str">
        <f t="shared" si="0"/>
        <v/>
      </c>
      <c r="L19" s="39" t="s">
        <v>19</v>
      </c>
      <c r="M19" s="49">
        <f>IF(A19,IF(D19,MIN('SE4X Production'!$E$42,2),M19),0)</f>
        <v>0</v>
      </c>
      <c r="N19" s="67" t="str">
        <f>IF(A19,IF(D19,IF('SE4X Production'!$E$47&gt;=1," Fast 2",""),N19),"")</f>
        <v/>
      </c>
      <c r="O19" s="49" t="str">
        <f>IF(A19,IF(D19,IF('SE4X Production'!$E$47&gt;=1,IF('SE4X Production'!$E$54&gt;=2,2,0),""),O19),"")</f>
        <v/>
      </c>
      <c r="P19" s="77" t="str">
        <f>IF(A19,IF(D19,IF('SE4X Production'!$E$47&gt;=1,"Heavy Wayheads",""),P19),"")</f>
        <v/>
      </c>
      <c r="Q19" s="168"/>
      <c r="R19" s="47" t="b">
        <v>0</v>
      </c>
      <c r="S19" s="165" t="s">
        <v>206</v>
      </c>
    </row>
    <row r="20" spans="1:19" ht="13.5" customHeight="1" x14ac:dyDescent="0.3">
      <c r="A20" s="47" t="b">
        <v>0</v>
      </c>
      <c r="D20" s="47" t="b">
        <v>0</v>
      </c>
      <c r="E20" s="47"/>
      <c r="F20" s="10" t="s">
        <v>77</v>
      </c>
      <c r="G20" s="49">
        <f>IF(A20,IF(D20,IF('SE4X Production'!$E$47&lt;1,MIN('SE4X Production'!$E$32,1),MIN('SE4X Production'!$E$32,2)),G20),0)</f>
        <v>0</v>
      </c>
      <c r="H20" s="49">
        <f>IF(A20,IF(D20,IF('SE4X Production'!$E$47&lt;1,MIN('SE4X Production'!$E$33,1),MIN('SE4X Production'!$E$33,2)),H20),0)</f>
        <v>0</v>
      </c>
      <c r="I20" s="49">
        <f>IF(A20,IF(D20,MIN('SE4X Production'!$E$34,3),I20),0)</f>
        <v>0</v>
      </c>
      <c r="J20" s="65">
        <f>IF(A20,IF(D20,MIN('SE4X Production'!$E$35,7),J20),1)</f>
        <v>1</v>
      </c>
      <c r="K20" s="81" t="str">
        <f t="shared" si="0"/>
        <v/>
      </c>
      <c r="L20" s="39" t="s">
        <v>19</v>
      </c>
      <c r="M20" s="49">
        <f>IF(A20,IF(D20,MIN('SE4X Production'!$E$42,2),M20),0)</f>
        <v>0</v>
      </c>
      <c r="N20" s="67" t="str">
        <f>IF(A20,IF(D20,IF('SE4X Production'!$E$47&gt;=1," Fast 2",""),N20),"")</f>
        <v/>
      </c>
      <c r="O20" s="49" t="str">
        <f>IF(A20,IF(D20,IF('SE4X Production'!$E$47&gt;=1,IF('SE4X Production'!$E$54&gt;=2,2,0),""),O20),"")</f>
        <v/>
      </c>
      <c r="P20" s="77" t="str">
        <f>IF(A20,IF(D20,IF('SE4X Production'!$E$47&gt;=1,"Heavy Wayheads",""),P20),"")</f>
        <v/>
      </c>
      <c r="Q20" s="168"/>
      <c r="R20" s="47" t="b">
        <v>0</v>
      </c>
    </row>
    <row r="21" spans="1:19" ht="13.5" customHeight="1" x14ac:dyDescent="0.3">
      <c r="A21" s="47" t="b">
        <v>0</v>
      </c>
      <c r="D21" s="47" t="b">
        <v>0</v>
      </c>
      <c r="E21" s="47"/>
      <c r="F21" s="41" t="s">
        <v>33</v>
      </c>
      <c r="G21" s="50">
        <f>IF(A21,IF(D21,MIN('SE4X Production'!$E$32,2),G21),0)</f>
        <v>0</v>
      </c>
      <c r="H21" s="50">
        <f>IF(A21,IF(D21,MIN('SE4X Production'!$E$33,2),H21),0)</f>
        <v>0</v>
      </c>
      <c r="I21" s="50">
        <f>IF(A21,IF(D21,MIN('SE4X Production'!$E$34,3),I21),0)</f>
        <v>0</v>
      </c>
      <c r="J21" s="42">
        <f>IF(A21,IF(D21,MIN('SE4X Production'!$E$35,7),J21),1)</f>
        <v>1</v>
      </c>
      <c r="K21" s="82" t="str">
        <f t="shared" si="0"/>
        <v/>
      </c>
      <c r="L21" s="43" t="s">
        <v>22</v>
      </c>
      <c r="M21" s="50">
        <f>IF(A21,IF(D21,MIN('SE4X Production'!$E$40,2),M21),0)</f>
        <v>0</v>
      </c>
      <c r="N21" s="68" t="s">
        <v>113</v>
      </c>
      <c r="O21" s="50">
        <f>IF(A21,IF(D21,MIN('SE4X Production'!$E$53,2),O21),0)</f>
        <v>0</v>
      </c>
      <c r="P21" s="79"/>
      <c r="Q21" s="168"/>
      <c r="R21" s="47" t="b">
        <v>0</v>
      </c>
    </row>
    <row r="22" spans="1:19" ht="13.5" customHeight="1" x14ac:dyDescent="0.3">
      <c r="A22" s="47" t="b">
        <v>0</v>
      </c>
      <c r="D22" s="47" t="b">
        <v>0</v>
      </c>
      <c r="E22" s="47"/>
      <c r="F22" s="41" t="s">
        <v>34</v>
      </c>
      <c r="G22" s="50">
        <f>IF(A22,IF(D22,MIN('SE4X Production'!$E$32,2),G22),0)</f>
        <v>0</v>
      </c>
      <c r="H22" s="50">
        <f>IF(A22,IF(D22,MIN('SE4X Production'!$E$33,2),H22),0)</f>
        <v>0</v>
      </c>
      <c r="I22" s="50">
        <f>IF(A22,IF(D22,MIN('SE4X Production'!$E$34,3),I22),0)</f>
        <v>0</v>
      </c>
      <c r="J22" s="42">
        <f>IF(A22,IF(D22,MIN('SE4X Production'!$E$35,7),J22),1)</f>
        <v>1</v>
      </c>
      <c r="K22" s="82" t="str">
        <f t="shared" si="0"/>
        <v/>
      </c>
      <c r="L22" s="43" t="s">
        <v>22</v>
      </c>
      <c r="M22" s="50">
        <f>IF(A22,IF(D22,MIN('SE4X Production'!$E$40,2),M22),0)</f>
        <v>0</v>
      </c>
      <c r="N22" s="68" t="s">
        <v>113</v>
      </c>
      <c r="O22" s="50">
        <f>IF(A22,IF(D22,MIN('SE4X Production'!$E$53,2),O22),0)</f>
        <v>0</v>
      </c>
      <c r="P22" s="79"/>
      <c r="Q22" s="168"/>
      <c r="R22" s="47" t="b">
        <v>0</v>
      </c>
    </row>
    <row r="23" spans="1:19" ht="13.5" customHeight="1" x14ac:dyDescent="0.3">
      <c r="A23" s="47" t="b">
        <v>0</v>
      </c>
      <c r="D23" s="47" t="b">
        <v>0</v>
      </c>
      <c r="E23" s="47"/>
      <c r="F23" s="41" t="s">
        <v>35</v>
      </c>
      <c r="G23" s="50">
        <f>IF(A23,IF(D23,MIN('SE4X Production'!$E$32,2),G23),0)</f>
        <v>0</v>
      </c>
      <c r="H23" s="50">
        <f>IF(A23,IF(D23,MIN('SE4X Production'!$E$33,2),H23),0)</f>
        <v>0</v>
      </c>
      <c r="I23" s="50">
        <f>IF(A23,IF(D23,MIN('SE4X Production'!$E$34,3),I23),0)</f>
        <v>0</v>
      </c>
      <c r="J23" s="42">
        <f>IF(A23,IF(D23,MIN('SE4X Production'!$E$35,7),J23),1)</f>
        <v>1</v>
      </c>
      <c r="K23" s="82" t="str">
        <f t="shared" si="0"/>
        <v/>
      </c>
      <c r="L23" s="43" t="s">
        <v>22</v>
      </c>
      <c r="M23" s="50">
        <f>IF(A23,IF(D23,MIN('SE4X Production'!$E$40,2),M23),0)</f>
        <v>0</v>
      </c>
      <c r="N23" s="68" t="s">
        <v>113</v>
      </c>
      <c r="O23" s="50">
        <f>IF(A23,IF(D23,MIN('SE4X Production'!$E$53,2),O23),0)</f>
        <v>0</v>
      </c>
      <c r="P23" s="79"/>
      <c r="Q23" s="168"/>
      <c r="R23" s="47" t="b">
        <v>0</v>
      </c>
    </row>
    <row r="24" spans="1:19" ht="13.5" customHeight="1" x14ac:dyDescent="0.3">
      <c r="A24" s="47" t="b">
        <v>0</v>
      </c>
      <c r="D24" s="47" t="b">
        <v>0</v>
      </c>
      <c r="E24" s="47"/>
      <c r="F24" s="41" t="s">
        <v>36</v>
      </c>
      <c r="G24" s="50">
        <f>IF(A24,IF(D24,MIN('SE4X Production'!$E$32,2),G24),0)</f>
        <v>0</v>
      </c>
      <c r="H24" s="50">
        <f>IF(A24,IF(D24,MIN('SE4X Production'!$E$33,2),H24),0)</f>
        <v>0</v>
      </c>
      <c r="I24" s="50">
        <f>IF(A24,IF(D24,MIN('SE4X Production'!$E$34,3),I24),0)</f>
        <v>0</v>
      </c>
      <c r="J24" s="42">
        <f>IF(A24,IF(D24,MIN('SE4X Production'!$E$35,7),J24),1)</f>
        <v>1</v>
      </c>
      <c r="K24" s="82" t="str">
        <f t="shared" si="0"/>
        <v/>
      </c>
      <c r="L24" s="43" t="s">
        <v>22</v>
      </c>
      <c r="M24" s="50">
        <f>IF(A24,IF(D24,MIN('SE4X Production'!$E$40,2),M24),0)</f>
        <v>0</v>
      </c>
      <c r="N24" s="68" t="s">
        <v>113</v>
      </c>
      <c r="O24" s="50">
        <f>IF(A24,IF(D24,MIN('SE4X Production'!$E$53,2),O24),0)</f>
        <v>0</v>
      </c>
      <c r="P24" s="79"/>
      <c r="Q24" s="168"/>
      <c r="R24" s="47" t="b">
        <v>0</v>
      </c>
    </row>
    <row r="25" spans="1:19" ht="13.5" customHeight="1" x14ac:dyDescent="0.3">
      <c r="A25" s="47" t="b">
        <v>0</v>
      </c>
      <c r="D25" s="47" t="b">
        <v>0</v>
      </c>
      <c r="E25" s="47"/>
      <c r="F25" s="41" t="s">
        <v>78</v>
      </c>
      <c r="G25" s="50">
        <f>IF(A25,IF(D25,MIN('SE4X Production'!$E$32,2),G25),0)</f>
        <v>0</v>
      </c>
      <c r="H25" s="50">
        <f>IF(A25,IF(D25,MIN('SE4X Production'!$E$33,2),H25),0)</f>
        <v>0</v>
      </c>
      <c r="I25" s="50">
        <f>IF(A25,IF(D25,MIN('SE4X Production'!$E$34,3),I25),0)</f>
        <v>0</v>
      </c>
      <c r="J25" s="42">
        <f>IF(A25,IF(D25,MIN('SE4X Production'!$E$35,7),J25),1)</f>
        <v>1</v>
      </c>
      <c r="K25" s="82" t="str">
        <f t="shared" si="0"/>
        <v/>
      </c>
      <c r="L25" s="43" t="s">
        <v>22</v>
      </c>
      <c r="M25" s="50">
        <f>IF(A25,IF(D25,MIN('SE4X Production'!$E$40,2),M25),0)</f>
        <v>0</v>
      </c>
      <c r="N25" s="68" t="s">
        <v>113</v>
      </c>
      <c r="O25" s="50">
        <f>IF(A25,IF(D25,MIN('SE4X Production'!$E$53,2),O25),0)</f>
        <v>0</v>
      </c>
      <c r="P25" s="79"/>
      <c r="Q25" s="168"/>
      <c r="R25" s="47" t="b">
        <v>0</v>
      </c>
    </row>
    <row r="26" spans="1:19" ht="13.5" customHeight="1" x14ac:dyDescent="0.3">
      <c r="A26" s="47" t="b">
        <v>0</v>
      </c>
      <c r="D26" s="47" t="b">
        <v>0</v>
      </c>
      <c r="E26" s="47"/>
      <c r="F26" s="41" t="s">
        <v>79</v>
      </c>
      <c r="G26" s="50">
        <f>IF(A26,IF(D26,MIN('SE4X Production'!$E$32,2),G26),0)</f>
        <v>0</v>
      </c>
      <c r="H26" s="50">
        <f>IF(A26,IF(D26,MIN('SE4X Production'!$E$33,2),H26),0)</f>
        <v>0</v>
      </c>
      <c r="I26" s="50">
        <f>IF(A26,IF(D26,MIN('SE4X Production'!$E$34,3),I26),0)</f>
        <v>0</v>
      </c>
      <c r="J26" s="42">
        <f>IF(A26,IF(D26,MIN('SE4X Production'!$E$35,7),J26),1)</f>
        <v>1</v>
      </c>
      <c r="K26" s="82" t="str">
        <f t="shared" si="0"/>
        <v/>
      </c>
      <c r="L26" s="43" t="s">
        <v>22</v>
      </c>
      <c r="M26" s="50">
        <f>IF(A26,IF(D26,MIN('SE4X Production'!$E$40,2),M26),0)</f>
        <v>0</v>
      </c>
      <c r="N26" s="68" t="s">
        <v>113</v>
      </c>
      <c r="O26" s="50">
        <f>IF(A26,IF(D26,MIN('SE4X Production'!$E$53,2),O26),0)</f>
        <v>0</v>
      </c>
      <c r="P26" s="79"/>
      <c r="Q26" s="168"/>
      <c r="R26" s="47" t="b">
        <v>0</v>
      </c>
    </row>
    <row r="27" spans="1:19" ht="13.5" customHeight="1" x14ac:dyDescent="0.3">
      <c r="A27" s="47" t="b">
        <v>0</v>
      </c>
      <c r="D27" s="47" t="b">
        <v>0</v>
      </c>
      <c r="E27" s="47"/>
      <c r="F27" s="10" t="s">
        <v>37</v>
      </c>
      <c r="G27" s="49">
        <f>IF(A27,IF(D27,MIN('SE4X Production'!$E$32,2),G27),0)</f>
        <v>0</v>
      </c>
      <c r="H27" s="49">
        <f>IF(A27,IF(D27,MIN('SE4X Production'!$E$33,2),H27),0)</f>
        <v>0</v>
      </c>
      <c r="I27" s="49">
        <f>IF(A27,IF(D27,MIN('SE4X Production'!$E$34,3),I27),0)</f>
        <v>0</v>
      </c>
      <c r="J27" s="65">
        <f>IF(A27,IF(D27,MIN('SE4X Production'!$E$35,7),J27),1)</f>
        <v>1</v>
      </c>
      <c r="K27" s="81" t="str">
        <f>IF(A27,IF(D27,IF(J27&gt;=4,"+",""),K27),"")</f>
        <v/>
      </c>
      <c r="L27" s="39" t="s">
        <v>180</v>
      </c>
      <c r="M27" s="49">
        <f>IF(A27,IF(D27,MIN('SE4X Production'!$E$54,1),M27),0)</f>
        <v>0</v>
      </c>
      <c r="N27" s="69"/>
      <c r="O27" s="40"/>
      <c r="P27" s="183"/>
      <c r="Q27" s="168"/>
      <c r="R27" s="47" t="b">
        <v>0</v>
      </c>
      <c r="S27" s="165" t="s">
        <v>192</v>
      </c>
    </row>
    <row r="28" spans="1:19" ht="13.5" customHeight="1" x14ac:dyDescent="0.3">
      <c r="A28" s="47" t="b">
        <v>0</v>
      </c>
      <c r="D28" s="47" t="b">
        <v>0</v>
      </c>
      <c r="E28" s="47"/>
      <c r="F28" s="10" t="s">
        <v>38</v>
      </c>
      <c r="G28" s="49">
        <f>IF(A28,IF(D28,MIN('SE4X Production'!$E$32,2),G28),0)</f>
        <v>0</v>
      </c>
      <c r="H28" s="49">
        <f>IF(A28,IF(D28,MIN('SE4X Production'!$E$33,2),H28),0)</f>
        <v>0</v>
      </c>
      <c r="I28" s="49">
        <f>IF(A28,IF(D28,MIN('SE4X Production'!$E$34,3),I28),0)</f>
        <v>0</v>
      </c>
      <c r="J28" s="65">
        <f>IF(A28,IF(D28,MIN('SE4X Production'!$E$35,7),J28),1)</f>
        <v>1</v>
      </c>
      <c r="K28" s="81" t="str">
        <f t="shared" ref="K28:K32" si="1">IF(A28,IF(D28,IF(J28&gt;=4,"+",""),K28),"")</f>
        <v/>
      </c>
      <c r="L28" s="39" t="s">
        <v>180</v>
      </c>
      <c r="M28" s="49">
        <f>IF(A28,IF(D28,MIN('SE4X Production'!$E$54,1),M28),0)</f>
        <v>0</v>
      </c>
      <c r="N28" s="69"/>
      <c r="O28" s="40"/>
      <c r="P28" s="179"/>
      <c r="Q28" s="168"/>
      <c r="R28" s="47" t="b">
        <v>0</v>
      </c>
      <c r="S28" s="165" t="s">
        <v>193</v>
      </c>
    </row>
    <row r="29" spans="1:19" ht="13.5" customHeight="1" x14ac:dyDescent="0.3">
      <c r="A29" s="47" t="b">
        <v>0</v>
      </c>
      <c r="D29" s="47" t="b">
        <v>0</v>
      </c>
      <c r="E29" s="47"/>
      <c r="F29" s="10" t="s">
        <v>39</v>
      </c>
      <c r="G29" s="49">
        <f>IF(A29,IF(D29,MIN('SE4X Production'!$E$32,2),G29),0)</f>
        <v>0</v>
      </c>
      <c r="H29" s="49">
        <f>IF(A29,IF(D29,MIN('SE4X Production'!$E$33,2),H29),0)</f>
        <v>0</v>
      </c>
      <c r="I29" s="49">
        <f>IF(A29,IF(D29,MIN('SE4X Production'!$E$34,3),I29),0)</f>
        <v>0</v>
      </c>
      <c r="J29" s="65">
        <f>IF(A29,IF(D29,MIN('SE4X Production'!$E$35,7),J29),1)</f>
        <v>1</v>
      </c>
      <c r="K29" s="81" t="str">
        <f t="shared" si="1"/>
        <v/>
      </c>
      <c r="L29" s="39" t="s">
        <v>180</v>
      </c>
      <c r="M29" s="49">
        <f>IF(A29,IF(D29,MIN('SE4X Production'!$E$54,1),M29),0)</f>
        <v>0</v>
      </c>
      <c r="N29" s="69"/>
      <c r="O29" s="40"/>
      <c r="P29" s="179"/>
      <c r="Q29" s="168"/>
      <c r="R29" s="47" t="b">
        <v>0</v>
      </c>
      <c r="S29" s="165" t="s">
        <v>194</v>
      </c>
    </row>
    <row r="30" spans="1:19" ht="13.5" customHeight="1" x14ac:dyDescent="0.3">
      <c r="A30" s="47" t="b">
        <v>0</v>
      </c>
      <c r="D30" s="47" t="b">
        <v>0</v>
      </c>
      <c r="E30" s="47"/>
      <c r="F30" s="10" t="s">
        <v>40</v>
      </c>
      <c r="G30" s="49">
        <f>IF(A30,IF(D30,MIN('SE4X Production'!$E$32,2),G30),0)</f>
        <v>0</v>
      </c>
      <c r="H30" s="49">
        <f>IF(A30,IF(D30,MIN('SE4X Production'!$E$33,2),H30),0)</f>
        <v>0</v>
      </c>
      <c r="I30" s="49">
        <f>IF(A30,IF(D30,MIN('SE4X Production'!$E$34,3),I30),0)</f>
        <v>0</v>
      </c>
      <c r="J30" s="65">
        <f>IF(A30,IF(D30,MIN('SE4X Production'!$E$35,7),J30),1)</f>
        <v>1</v>
      </c>
      <c r="K30" s="81" t="str">
        <f t="shared" si="1"/>
        <v/>
      </c>
      <c r="L30" s="39" t="s">
        <v>180</v>
      </c>
      <c r="M30" s="49">
        <f>IF(A30,IF(D30,MIN('SE4X Production'!$E$54,1),M30),0)</f>
        <v>0</v>
      </c>
      <c r="N30" s="69"/>
      <c r="O30" s="40"/>
      <c r="P30" s="179"/>
      <c r="Q30" s="168"/>
      <c r="R30" s="47" t="b">
        <v>0</v>
      </c>
      <c r="S30" s="165" t="s">
        <v>177</v>
      </c>
    </row>
    <row r="31" spans="1:19" ht="13.5" customHeight="1" x14ac:dyDescent="0.3">
      <c r="A31" s="47" t="b">
        <v>0</v>
      </c>
      <c r="D31" s="47" t="b">
        <v>0</v>
      </c>
      <c r="E31" s="47"/>
      <c r="F31" s="10" t="s">
        <v>85</v>
      </c>
      <c r="G31" s="49">
        <f>IF(A31,IF(D31,MIN('SE4X Production'!$E$32,2),G31),0)</f>
        <v>0</v>
      </c>
      <c r="H31" s="49">
        <f>IF(A31,IF(D31,MIN('SE4X Production'!$E$33,2),H31),0)</f>
        <v>0</v>
      </c>
      <c r="I31" s="49">
        <f>IF(A31,IF(D31,MIN('SE4X Production'!$E$34,3),I31),0)</f>
        <v>0</v>
      </c>
      <c r="J31" s="65">
        <f>IF(A31,IF(D31,MIN('SE4X Production'!$E$35,7),J31),1)</f>
        <v>1</v>
      </c>
      <c r="K31" s="81" t="str">
        <f t="shared" si="1"/>
        <v/>
      </c>
      <c r="L31" s="39" t="s">
        <v>180</v>
      </c>
      <c r="M31" s="49">
        <f>IF(A31,IF(D31,MIN('SE4X Production'!$E$54,1),M31),0)</f>
        <v>0</v>
      </c>
      <c r="N31" s="69"/>
      <c r="O31" s="40"/>
      <c r="P31" s="179"/>
      <c r="Q31" s="168"/>
      <c r="R31" s="47" t="b">
        <v>0</v>
      </c>
      <c r="S31" s="185" t="s">
        <v>195</v>
      </c>
    </row>
    <row r="32" spans="1:19" ht="13.5" customHeight="1" x14ac:dyDescent="0.3">
      <c r="A32" s="47" t="b">
        <v>0</v>
      </c>
      <c r="D32" s="47" t="b">
        <v>0</v>
      </c>
      <c r="E32" s="47"/>
      <c r="F32" s="10" t="s">
        <v>86</v>
      </c>
      <c r="G32" s="49">
        <f>IF(A32,IF(D32,MIN('SE4X Production'!$E$32,2),G32),0)</f>
        <v>0</v>
      </c>
      <c r="H32" s="49">
        <f>IF(A32,IF(D32,MIN('SE4X Production'!$E$33,2),H32),0)</f>
        <v>0</v>
      </c>
      <c r="I32" s="49">
        <f>IF(A32,IF(D32,MIN('SE4X Production'!$E$34,3),I32),0)</f>
        <v>0</v>
      </c>
      <c r="J32" s="65">
        <f>IF(A32,IF(D32,MIN('SE4X Production'!$E$35,7),J32),1)</f>
        <v>1</v>
      </c>
      <c r="K32" s="81" t="str">
        <f t="shared" si="1"/>
        <v/>
      </c>
      <c r="L32" s="39" t="s">
        <v>180</v>
      </c>
      <c r="M32" s="49">
        <f>IF(A32,IF(D32,MIN('SE4X Production'!$E$54,1),M32),0)</f>
        <v>0</v>
      </c>
      <c r="N32" s="69"/>
      <c r="O32" s="40"/>
      <c r="P32" s="180"/>
      <c r="Q32" s="168"/>
      <c r="R32" s="47" t="b">
        <v>0</v>
      </c>
      <c r="S32" s="185" t="s">
        <v>191</v>
      </c>
    </row>
    <row r="33" spans="1:19" ht="13.5" customHeight="1" x14ac:dyDescent="0.3">
      <c r="A33" s="47" t="b">
        <v>0</v>
      </c>
      <c r="D33" s="47" t="b">
        <v>0</v>
      </c>
      <c r="E33" s="47"/>
      <c r="F33" s="41" t="s">
        <v>42</v>
      </c>
      <c r="G33" s="50">
        <f>IF(A33,IF(D33,MIN('SE4X Production'!$E$32,3),G33),0)</f>
        <v>0</v>
      </c>
      <c r="H33" s="50">
        <f>IF(A33,IF(D33,MIN('SE4X Production'!$E$33,3),H33),0)</f>
        <v>0</v>
      </c>
      <c r="I33" s="50">
        <f>IF(A33,IF(D33,MIN('SE4X Production'!$E$34,3),I33),0)</f>
        <v>0</v>
      </c>
      <c r="J33" s="42">
        <f>IF(A33,IF(D33,MIN('SE4X Production'!$E$35,7),J33),1)</f>
        <v>1</v>
      </c>
      <c r="K33" s="50" t="str">
        <f>IF(A33,IF(D33,IF(J33&gt;=5,"+",""),K33),"")</f>
        <v/>
      </c>
      <c r="L33" s="43" t="str">
        <f>IF(A33,IF(D33,IF('SE4X Production'!$E$47&gt;=1," Tractor Beam",""),L33),"")</f>
        <v/>
      </c>
      <c r="M33" s="50" t="str">
        <f>IF(A33,IF(D33,IF('SE4X Production'!$E$47&gt;=1,'SE4X Production'!$E$55,""),M33),"")</f>
        <v/>
      </c>
      <c r="N33" s="70"/>
      <c r="O33" s="46"/>
      <c r="P33" s="184"/>
      <c r="Q33" s="168"/>
      <c r="R33" s="47" t="b">
        <v>0</v>
      </c>
      <c r="S33" s="185" t="s">
        <v>196</v>
      </c>
    </row>
    <row r="34" spans="1:19" ht="13.5" customHeight="1" x14ac:dyDescent="0.3">
      <c r="A34" s="47" t="b">
        <v>0</v>
      </c>
      <c r="D34" s="47" t="b">
        <v>0</v>
      </c>
      <c r="E34" s="47"/>
      <c r="F34" s="41" t="s">
        <v>43</v>
      </c>
      <c r="G34" s="50">
        <f>IF(A34,IF(D34,MIN('SE4X Production'!$E$32,3),G34),0)</f>
        <v>0</v>
      </c>
      <c r="H34" s="50">
        <f>IF(A34,IF(D34,MIN('SE4X Production'!$E$33,3),H34),0)</f>
        <v>0</v>
      </c>
      <c r="I34" s="50">
        <f>IF(A34,IF(D34,MIN('SE4X Production'!$E$34,3),I34),0)</f>
        <v>0</v>
      </c>
      <c r="J34" s="42">
        <f>IF(A34,IF(D34,MIN('SE4X Production'!$E$35,7),J34),1)</f>
        <v>1</v>
      </c>
      <c r="K34" s="50" t="str">
        <f t="shared" ref="K34:K38" si="2">IF(A34,IF(D34,IF(J34&gt;=5,"+",""),K34),"")</f>
        <v/>
      </c>
      <c r="L34" s="43" t="str">
        <f>IF(A34,IF(D34,IF('SE4X Production'!$E$47&gt;=1," Tractor Beam",""),L34),"")</f>
        <v/>
      </c>
      <c r="M34" s="50" t="str">
        <f>IF(A34,IF(D34,IF('SE4X Production'!$E$47&gt;=1,'SE4X Production'!$E$55,""),M34),"")</f>
        <v/>
      </c>
      <c r="N34" s="70"/>
      <c r="O34" s="46"/>
      <c r="P34" s="181"/>
      <c r="Q34" s="168"/>
      <c r="R34" s="47" t="b">
        <v>0</v>
      </c>
      <c r="S34" s="185" t="s">
        <v>197</v>
      </c>
    </row>
    <row r="35" spans="1:19" ht="13.5" customHeight="1" x14ac:dyDescent="0.3">
      <c r="A35" s="47" t="b">
        <v>0</v>
      </c>
      <c r="D35" s="47" t="b">
        <v>0</v>
      </c>
      <c r="E35" s="47"/>
      <c r="F35" s="41" t="s">
        <v>44</v>
      </c>
      <c r="G35" s="50">
        <f>IF(A35,IF(D35,MIN('SE4X Production'!$E$32,3),G35),0)</f>
        <v>0</v>
      </c>
      <c r="H35" s="50">
        <f>IF(A35,IF(D35,MIN('SE4X Production'!$E$33,3),H35),0)</f>
        <v>0</v>
      </c>
      <c r="I35" s="50">
        <f>IF(A35,IF(D35,MIN('SE4X Production'!$E$34,3),I35),0)</f>
        <v>0</v>
      </c>
      <c r="J35" s="42">
        <f>IF(A35,IF(D35,MIN('SE4X Production'!$E$35,7),J35),1)</f>
        <v>1</v>
      </c>
      <c r="K35" s="50" t="str">
        <f t="shared" si="2"/>
        <v/>
      </c>
      <c r="L35" s="43" t="str">
        <f>IF(A35,IF(D35,IF('SE4X Production'!$E$47&gt;=1," Tractor Beam",""),L35),"")</f>
        <v/>
      </c>
      <c r="M35" s="50" t="str">
        <f>IF(A35,IF(D35,IF('SE4X Production'!$E$47&gt;=1,'SE4X Production'!$E$55,""),M35),"")</f>
        <v/>
      </c>
      <c r="N35" s="70"/>
      <c r="O35" s="46"/>
      <c r="P35" s="181"/>
      <c r="Q35" s="168"/>
      <c r="S35" s="165" t="s">
        <v>190</v>
      </c>
    </row>
    <row r="36" spans="1:19" ht="13.5" customHeight="1" x14ac:dyDescent="0.3">
      <c r="A36" s="47" t="b">
        <v>0</v>
      </c>
      <c r="D36" s="47" t="b">
        <v>0</v>
      </c>
      <c r="E36" s="47"/>
      <c r="F36" s="41" t="s">
        <v>45</v>
      </c>
      <c r="G36" s="50">
        <f>IF(A36,IF(D36,MIN('SE4X Production'!$E$32,3),G36),0)</f>
        <v>0</v>
      </c>
      <c r="H36" s="50">
        <f>IF(A36,IF(D36,MIN('SE4X Production'!$E$33,3),H36),0)</f>
        <v>0</v>
      </c>
      <c r="I36" s="50">
        <f>IF(A36,IF(D36,MIN('SE4X Production'!$E$34,3),I36),0)</f>
        <v>0</v>
      </c>
      <c r="J36" s="42">
        <f>IF(A36,IF(D36,MIN('SE4X Production'!$E$35,7),J36),1)</f>
        <v>1</v>
      </c>
      <c r="K36" s="50" t="str">
        <f t="shared" si="2"/>
        <v/>
      </c>
      <c r="L36" s="43" t="str">
        <f>IF(A36,IF(D36,IF('SE4X Production'!$E$47&gt;=1," Tractor Beam",""),L36),"")</f>
        <v/>
      </c>
      <c r="M36" s="50" t="str">
        <f>IF(A36,IF(D36,IF('SE4X Production'!$E$47&gt;=1,'SE4X Production'!$E$55,""),M36),"")</f>
        <v/>
      </c>
      <c r="N36" s="70"/>
      <c r="O36" s="46"/>
      <c r="P36" s="181"/>
      <c r="Q36" s="168"/>
      <c r="S36" s="165" t="s">
        <v>198</v>
      </c>
    </row>
    <row r="37" spans="1:19" ht="13.5" customHeight="1" x14ac:dyDescent="0.3">
      <c r="A37" s="47" t="b">
        <v>0</v>
      </c>
      <c r="D37" s="47" t="b">
        <v>0</v>
      </c>
      <c r="E37" s="47"/>
      <c r="F37" s="41" t="s">
        <v>80</v>
      </c>
      <c r="G37" s="50">
        <f>IF(A37,IF(D37,MIN('SE4X Production'!$E$32,3),G37),0)</f>
        <v>0</v>
      </c>
      <c r="H37" s="50">
        <f>IF(A37,IF(D37,MIN('SE4X Production'!$E$33,3),H37),0)</f>
        <v>0</v>
      </c>
      <c r="I37" s="50">
        <f>IF(A37,IF(D37,MIN('SE4X Production'!$E$34,3),I37),0)</f>
        <v>0</v>
      </c>
      <c r="J37" s="42">
        <f>IF(A37,IF(D37,MIN('SE4X Production'!$E$35,7),J37),1)</f>
        <v>1</v>
      </c>
      <c r="K37" s="50" t="str">
        <f t="shared" si="2"/>
        <v/>
      </c>
      <c r="L37" s="43" t="str">
        <f>IF(A37,IF(D37,IF('SE4X Production'!$E$47&gt;=1," Tractor Beam",""),L37),"")</f>
        <v/>
      </c>
      <c r="M37" s="50" t="str">
        <f>IF(A37,IF(D37,IF('SE4X Production'!$E$47&gt;=1,'SE4X Production'!$E$55,""),M37),"")</f>
        <v/>
      </c>
      <c r="N37" s="70"/>
      <c r="O37" s="46"/>
      <c r="P37" s="181"/>
      <c r="Q37" s="168"/>
      <c r="S37" s="165" t="s">
        <v>189</v>
      </c>
    </row>
    <row r="38" spans="1:19" ht="13.5" customHeight="1" x14ac:dyDescent="0.3">
      <c r="A38" s="47" t="b">
        <v>0</v>
      </c>
      <c r="D38" s="47" t="b">
        <v>0</v>
      </c>
      <c r="E38" s="47"/>
      <c r="F38" s="41" t="s">
        <v>81</v>
      </c>
      <c r="G38" s="50">
        <f>IF(A38,IF(D38,MIN('SE4X Production'!$E$32,3),G38),0)</f>
        <v>0</v>
      </c>
      <c r="H38" s="50">
        <f>IF(A38,IF(D38,MIN('SE4X Production'!$E$33,3),H38),0)</f>
        <v>0</v>
      </c>
      <c r="I38" s="50">
        <f>IF(A38,IF(D38,MIN('SE4X Production'!$E$34,3),I38),0)</f>
        <v>0</v>
      </c>
      <c r="J38" s="42">
        <f>IF(A38,IF(D38,MIN('SE4X Production'!$E$35,7),J38),1)</f>
        <v>1</v>
      </c>
      <c r="K38" s="50" t="str">
        <f t="shared" si="2"/>
        <v/>
      </c>
      <c r="L38" s="43" t="str">
        <f>IF(A38,IF(D38,IF('SE4X Production'!$E$47&gt;=1," Tractor Beam",""),L38),"")</f>
        <v/>
      </c>
      <c r="M38" s="50" t="str">
        <f>IF(A38,IF(D38,IF('SE4X Production'!$E$47&gt;=1,'SE4X Production'!$E$55,""),M38),"")</f>
        <v/>
      </c>
      <c r="N38" s="70"/>
      <c r="O38" s="46"/>
      <c r="P38" s="182"/>
      <c r="Q38" s="168"/>
      <c r="S38" s="165" t="s">
        <v>199</v>
      </c>
    </row>
    <row r="39" spans="1:19" ht="13.5" customHeight="1" x14ac:dyDescent="0.3">
      <c r="A39" s="47" t="b">
        <v>0</v>
      </c>
      <c r="D39" s="47" t="b">
        <v>0</v>
      </c>
      <c r="E39" s="47"/>
      <c r="F39" s="10" t="s">
        <v>46</v>
      </c>
      <c r="G39" s="49">
        <f>IF(A39,IF(D39,MIN('SE4X Production'!$E$32,3),G39),0)</f>
        <v>0</v>
      </c>
      <c r="H39" s="49">
        <f>IF(A39,IF(D39,MIN('SE4X Production'!$E$33,3),H39),0)</f>
        <v>0</v>
      </c>
      <c r="I39" s="49">
        <f>IF(A39,IF(D39,MIN('SE4X Production'!$E$34,3),I39),0)</f>
        <v>0</v>
      </c>
      <c r="J39" s="65">
        <f>IF(A39,IF(D39,MIN('SE4X Production'!$E$35,7),J39),1)</f>
        <v>1</v>
      </c>
      <c r="K39" s="49" t="str">
        <f>IF(A39,IF(D39,IF(J39&gt;=6,"+",""),K39),"")</f>
        <v/>
      </c>
      <c r="L39" s="39" t="str">
        <f>IF(A39,IF(D39,IF('SE4X Production'!$E$47&gt;=1," Shield Projector",""),L39),"")</f>
        <v/>
      </c>
      <c r="M39" s="49" t="str">
        <f>IF(A39,IF(D39,IF('SE4X Production'!$E$47&gt;=1,'SE4X Production'!$E$56,""),M39),"")</f>
        <v/>
      </c>
      <c r="N39" s="69"/>
      <c r="O39" s="40"/>
      <c r="P39" s="178"/>
      <c r="Q39" s="168"/>
    </row>
    <row r="40" spans="1:19" ht="13.5" customHeight="1" x14ac:dyDescent="0.3">
      <c r="A40" s="47" t="b">
        <v>0</v>
      </c>
      <c r="D40" s="47" t="b">
        <v>0</v>
      </c>
      <c r="E40" s="47"/>
      <c r="F40" s="10" t="s">
        <v>47</v>
      </c>
      <c r="G40" s="49">
        <f>IF(A40,IF(D40,MIN('SE4X Production'!$E$32,3),G40),0)</f>
        <v>0</v>
      </c>
      <c r="H40" s="49">
        <f>IF(A40,IF(D40,MIN('SE4X Production'!$E$33,3),H40),0)</f>
        <v>0</v>
      </c>
      <c r="I40" s="49">
        <f>IF(A40,IF(D40,MIN('SE4X Production'!$E$34,3),I40),0)</f>
        <v>0</v>
      </c>
      <c r="J40" s="65">
        <f>IF(A40,IF(D40,MIN('SE4X Production'!$E$35,7),J40),1)</f>
        <v>1</v>
      </c>
      <c r="K40" s="49" t="str">
        <f t="shared" ref="K40:K43" si="3">IF(A40,IF(D40,IF(J40&gt;=6,"+",""),K40),"")</f>
        <v/>
      </c>
      <c r="L40" s="39" t="str">
        <f>IF(A40,IF(D40,IF('SE4X Production'!$E$47&gt;=1," Shield Projector",""),L40),"")</f>
        <v/>
      </c>
      <c r="M40" s="49" t="str">
        <f>IF(A40,IF(D40,IF('SE4X Production'!$E$47&gt;=1,'SE4X Production'!$E$56,""),M40),"")</f>
        <v/>
      </c>
      <c r="N40" s="69"/>
      <c r="O40" s="40"/>
      <c r="P40" s="179"/>
      <c r="Q40" s="168"/>
    </row>
    <row r="41" spans="1:19" ht="13.5" customHeight="1" x14ac:dyDescent="0.3">
      <c r="A41" s="47" t="b">
        <v>0</v>
      </c>
      <c r="D41" s="47" t="b">
        <v>0</v>
      </c>
      <c r="E41" s="47"/>
      <c r="F41" s="10" t="s">
        <v>82</v>
      </c>
      <c r="G41" s="49">
        <f>IF(A41,IF(D41,MIN('SE4X Production'!$E$32,3),G41),0)</f>
        <v>0</v>
      </c>
      <c r="H41" s="49">
        <f>IF(A41,IF(D41,MIN('SE4X Production'!$E$33,3),H41),0)</f>
        <v>0</v>
      </c>
      <c r="I41" s="49">
        <f>IF(A41,IF(D41,MIN('SE4X Production'!$E$34,3),I41),0)</f>
        <v>0</v>
      </c>
      <c r="J41" s="65">
        <f>IF(A41,IF(D41,MIN('SE4X Production'!$E$35,7),J41),1)</f>
        <v>1</v>
      </c>
      <c r="K41" s="49" t="str">
        <f t="shared" si="3"/>
        <v/>
      </c>
      <c r="L41" s="39" t="str">
        <f>IF(A41,IF(D41,IF('SE4X Production'!$E$47&gt;=1," Shield Projector",""),L41),"")</f>
        <v/>
      </c>
      <c r="M41" s="49" t="str">
        <f>IF(A41,IF(D41,IF('SE4X Production'!$E$47&gt;=1,'SE4X Production'!$E$56,""),M41),"")</f>
        <v/>
      </c>
      <c r="N41" s="69"/>
      <c r="O41" s="40"/>
      <c r="P41" s="179"/>
      <c r="Q41" s="168"/>
    </row>
    <row r="42" spans="1:19" ht="13.5" customHeight="1" x14ac:dyDescent="0.3">
      <c r="A42" s="47" t="b">
        <v>0</v>
      </c>
      <c r="D42" s="47" t="b">
        <v>0</v>
      </c>
      <c r="E42" s="47"/>
      <c r="F42" s="10" t="s">
        <v>83</v>
      </c>
      <c r="G42" s="49">
        <f>IF(A42,IF(D42,MIN('SE4X Production'!$E$32,3),G42),0)</f>
        <v>0</v>
      </c>
      <c r="H42" s="49">
        <f>IF(A42,IF(D42,MIN('SE4X Production'!$E$33,3),H42),0)</f>
        <v>0</v>
      </c>
      <c r="I42" s="49">
        <f>IF(A42,IF(D42,MIN('SE4X Production'!$E$34,3),I42),0)</f>
        <v>0</v>
      </c>
      <c r="J42" s="65">
        <f>IF(A42,IF(D42,MIN('SE4X Production'!$E$35,7),J42),1)</f>
        <v>1</v>
      </c>
      <c r="K42" s="49" t="str">
        <f t="shared" si="3"/>
        <v/>
      </c>
      <c r="L42" s="39" t="str">
        <f>IF(A42,IF(D42,IF('SE4X Production'!$E$47&gt;=1," Shield Projector",""),L42),"")</f>
        <v/>
      </c>
      <c r="M42" s="49" t="str">
        <f>IF(A42,IF(D42,IF('SE4X Production'!$E$47&gt;=1,'SE4X Production'!$E$56,""),M42),"")</f>
        <v/>
      </c>
      <c r="N42" s="69"/>
      <c r="O42" s="40"/>
      <c r="P42" s="179"/>
      <c r="Q42" s="168"/>
    </row>
    <row r="43" spans="1:19" ht="13.5" customHeight="1" x14ac:dyDescent="0.3">
      <c r="A43" s="47" t="b">
        <v>0</v>
      </c>
      <c r="D43" s="47" t="b">
        <v>0</v>
      </c>
      <c r="E43" s="47"/>
      <c r="F43" s="10" t="s">
        <v>84</v>
      </c>
      <c r="G43" s="49">
        <f>IF(A43,IF(D43,MIN('SE4X Production'!$E$32,3),G43),0)</f>
        <v>0</v>
      </c>
      <c r="H43" s="49">
        <f>IF(A43,IF(D43,MIN('SE4X Production'!$E$33,3),H43),0)</f>
        <v>0</v>
      </c>
      <c r="I43" s="49">
        <f>IF(A43,IF(D43,MIN('SE4X Production'!$E$34,3),I43),0)</f>
        <v>0</v>
      </c>
      <c r="J43" s="65">
        <f>IF(A43,IF(D43,MIN('SE4X Production'!$E$35,7),J43),1)</f>
        <v>1</v>
      </c>
      <c r="K43" s="49" t="str">
        <f t="shared" si="3"/>
        <v/>
      </c>
      <c r="L43" s="39" t="str">
        <f>IF(A43,IF(D43,IF('SE4X Production'!$E$47&gt;=1," Shield Projector",""),L43),"")</f>
        <v/>
      </c>
      <c r="M43" s="49" t="str">
        <f>IF(A43,IF(D43,IF('SE4X Production'!$E$47&gt;=1,'SE4X Production'!$E$56,""),M43),"")</f>
        <v/>
      </c>
      <c r="N43" s="69"/>
      <c r="O43" s="40"/>
      <c r="P43" s="180"/>
      <c r="Q43" s="168"/>
    </row>
    <row r="44" spans="1:19" ht="13.5" customHeight="1" x14ac:dyDescent="0.3">
      <c r="A44" s="47" t="b">
        <v>0</v>
      </c>
      <c r="D44" s="47" t="b">
        <v>0</v>
      </c>
      <c r="E44" s="47"/>
      <c r="F44" s="41" t="s">
        <v>143</v>
      </c>
      <c r="G44" s="50">
        <f>IF(A44,IF(D44,MIN('SE4X Production'!$E$32,4),G44),0)</f>
        <v>0</v>
      </c>
      <c r="H44" s="50">
        <f>IF(A44,IF(D44,MIN('SE4X Production'!$E$33,3),H44),0)</f>
        <v>0</v>
      </c>
      <c r="I44" s="50">
        <f>IF(A44,IF(D44,MIN('SE4X Production'!$E$34,3),I44),0)</f>
        <v>0</v>
      </c>
      <c r="J44" s="42">
        <f>IF(A44,IF(D44,MIN('SE4X Production'!$E$35,7),J44),1)</f>
        <v>1</v>
      </c>
      <c r="K44" s="50"/>
      <c r="L44" s="43" t="s">
        <v>13</v>
      </c>
      <c r="M44" s="50">
        <f>IF(A44,IF(D44,MIN('SE4X Production'!$E$36,4),M44),0)</f>
        <v>0</v>
      </c>
      <c r="N44" s="70"/>
      <c r="O44" s="46"/>
      <c r="P44" s="80"/>
      <c r="Q44" s="168"/>
    </row>
    <row r="45" spans="1:19" ht="13.5" customHeight="1" x14ac:dyDescent="0.3">
      <c r="A45" s="47" t="b">
        <v>0</v>
      </c>
      <c r="D45" s="47" t="b">
        <v>0</v>
      </c>
      <c r="E45" s="47"/>
      <c r="F45" s="41" t="s">
        <v>144</v>
      </c>
      <c r="G45" s="50">
        <f>IF(A45,IF(D45,MIN('SE4X Production'!$E$32,4),G45),0)</f>
        <v>0</v>
      </c>
      <c r="H45" s="50">
        <f>IF(A45,IF(D45,MIN('SE4X Production'!$E$33,3),H45),0)</f>
        <v>0</v>
      </c>
      <c r="I45" s="50">
        <f>IF(A45,IF(D45,MIN('SE4X Production'!$E$34,3),I45),0)</f>
        <v>0</v>
      </c>
      <c r="J45" s="42">
        <f>IF(A45,IF(D45,MIN('SE4X Production'!$E$35,7),J45),1)</f>
        <v>1</v>
      </c>
      <c r="K45" s="50"/>
      <c r="L45" s="43" t="s">
        <v>13</v>
      </c>
      <c r="M45" s="50">
        <f>IF(A45,IF(D45,MIN('SE4X Production'!$E$36,4),M45),0)</f>
        <v>0</v>
      </c>
      <c r="N45" s="70"/>
      <c r="O45" s="46"/>
      <c r="P45" s="80"/>
      <c r="Q45" s="168"/>
    </row>
    <row r="46" spans="1:19" ht="13.5" customHeight="1" x14ac:dyDescent="0.3">
      <c r="A46" s="47" t="b">
        <v>0</v>
      </c>
      <c r="D46" s="47" t="b">
        <v>0</v>
      </c>
      <c r="E46" s="47"/>
      <c r="F46" s="41" t="s">
        <v>145</v>
      </c>
      <c r="G46" s="50">
        <f>IF(A46,IF(D46,MIN('SE4X Production'!$E$32,4),G46),0)</f>
        <v>0</v>
      </c>
      <c r="H46" s="50">
        <f>IF(A46,IF(D46,MIN('SE4X Production'!$E$33,3),H46),0)</f>
        <v>0</v>
      </c>
      <c r="I46" s="50">
        <f>IF(A46,IF(D46,MIN('SE4X Production'!$E$34,3),I46),0)</f>
        <v>0</v>
      </c>
      <c r="J46" s="42">
        <f>IF(A46,IF(D46,MIN('SE4X Production'!$E$35,7),J46),1)</f>
        <v>1</v>
      </c>
      <c r="K46" s="50"/>
      <c r="L46" s="43" t="s">
        <v>13</v>
      </c>
      <c r="M46" s="50">
        <f>IF(A46,IF(D46,MIN('SE4X Production'!$E$36,4),M46),0)</f>
        <v>0</v>
      </c>
      <c r="N46" s="70"/>
      <c r="O46" s="46"/>
      <c r="P46" s="80"/>
      <c r="Q46" s="168"/>
    </row>
    <row r="47" spans="1:19" ht="13.5" customHeight="1" x14ac:dyDescent="0.3">
      <c r="A47" s="47" t="b">
        <v>0</v>
      </c>
      <c r="D47" s="47" t="b">
        <v>0</v>
      </c>
      <c r="E47" s="47"/>
      <c r="F47" s="41" t="s">
        <v>146</v>
      </c>
      <c r="G47" s="50">
        <f>IF(A47,IF(D47,MIN('SE4X Production'!$E$32,4),G47),0)</f>
        <v>0</v>
      </c>
      <c r="H47" s="50">
        <f>IF(A47,IF(D47,MIN('SE4X Production'!$E$33,3),H47),0)</f>
        <v>0</v>
      </c>
      <c r="I47" s="50">
        <f>IF(A47,IF(D47,MIN('SE4X Production'!$E$34,3),I47),0)</f>
        <v>0</v>
      </c>
      <c r="J47" s="42">
        <f>IF(A47,IF(D47,MIN('SE4X Production'!$E$35,7),J47),1)</f>
        <v>1</v>
      </c>
      <c r="K47" s="50"/>
      <c r="L47" s="43" t="s">
        <v>13</v>
      </c>
      <c r="M47" s="50">
        <f>IF(A47,IF(D47,MIN('SE4X Production'!$E$36,4),M47),0)</f>
        <v>0</v>
      </c>
      <c r="N47" s="70"/>
      <c r="O47" s="46"/>
      <c r="P47" s="80"/>
      <c r="Q47" s="168"/>
    </row>
    <row r="48" spans="1:19" ht="13.5" customHeight="1" x14ac:dyDescent="0.3">
      <c r="A48" s="47" t="b">
        <v>0</v>
      </c>
      <c r="D48" s="47" t="b">
        <v>0</v>
      </c>
      <c r="E48" s="47"/>
      <c r="F48" s="41" t="s">
        <v>147</v>
      </c>
      <c r="G48" s="50">
        <f>IF(A48,IF(D48,MIN('SE4X Production'!$E$32,4),G48),0)</f>
        <v>0</v>
      </c>
      <c r="H48" s="50">
        <f>IF(A48,IF(D48,MIN('SE4X Production'!$E$33,3),H48),0)</f>
        <v>0</v>
      </c>
      <c r="I48" s="50">
        <f>IF(A48,IF(D48,MIN('SE4X Production'!$E$34,3),I48),0)</f>
        <v>0</v>
      </c>
      <c r="J48" s="42">
        <f>IF(A48,IF(D48,MIN('SE4X Production'!$E$35,7),J48),1)</f>
        <v>1</v>
      </c>
      <c r="K48" s="50"/>
      <c r="L48" s="43" t="s">
        <v>13</v>
      </c>
      <c r="M48" s="50">
        <f>IF(A48,IF(D48,MIN('SE4X Production'!$E$36,4),M48),0)</f>
        <v>0</v>
      </c>
      <c r="N48" s="70"/>
      <c r="O48" s="46"/>
      <c r="P48" s="80"/>
      <c r="Q48" s="168"/>
    </row>
    <row r="49" spans="1:18" ht="13.5" customHeight="1" x14ac:dyDescent="0.3">
      <c r="A49" s="47" t="b">
        <v>0</v>
      </c>
      <c r="D49" s="47" t="b">
        <v>0</v>
      </c>
      <c r="E49" s="47"/>
      <c r="F49" s="10" t="s">
        <v>148</v>
      </c>
      <c r="G49" s="49">
        <f>IF(A49,IF(D49,IF('SE4X Production'!$E$47&lt;3,MIN('SE4X Production'!$E$32,2),MIN('SE4X Production'!$E$32,3)),G49),0)</f>
        <v>0</v>
      </c>
      <c r="H49" s="49">
        <f>IF(A49,IF(D49,IF('SE4X Production'!$E$47&lt;3,MIN('SE4X Production'!$E$33,2),MIN('SE4X Production'!$E$33,3)),H49),0)</f>
        <v>0</v>
      </c>
      <c r="I49" s="49">
        <f>IF(A49,IF(D49,MIN('SE4X Production'!$E$34,3),I49),0)</f>
        <v>0</v>
      </c>
      <c r="J49" s="65">
        <f>IF(A49,IF(D49,MIN('SE4X Production'!$E$35,7),J49),1)</f>
        <v>1</v>
      </c>
      <c r="K49" s="81" t="str">
        <f t="shared" ref="K49:K54" si="4">IF(A49,IF(D49,IF(J49&gt;=3,"+",""),K49),"")</f>
        <v/>
      </c>
      <c r="L49" s="39" t="s">
        <v>17</v>
      </c>
      <c r="M49" s="49">
        <f>IF(A49,IF(D49,MIN('SE4X Production'!$E$41,2),M49),0)</f>
        <v>0</v>
      </c>
      <c r="N49" s="67" t="str">
        <f>IF(A49,IF(D49,IF('SE4X Production'!$E$47&gt;=3," Fast 2",""),N49),"")</f>
        <v/>
      </c>
      <c r="O49" s="49" t="str">
        <f>IF(A49,IF(D49,IF('SE4X Production'!$E$47&gt;=3,IF('SE4X Production'!$E$54&gt;=2,2,0),""),O49),"")</f>
        <v/>
      </c>
      <c r="P49" s="77"/>
      <c r="Q49" s="168"/>
      <c r="R49" s="83" t="str">
        <f>IF(A49,IF(D49,IF('SE4X Production'!$E$47&gt;=3,IF('SE4X Production'!$E$46&gt;=3,"GC 3",""),""),R49),"")</f>
        <v/>
      </c>
    </row>
    <row r="50" spans="1:18" ht="13.5" customHeight="1" x14ac:dyDescent="0.3">
      <c r="A50" s="47" t="b">
        <v>0</v>
      </c>
      <c r="D50" s="47" t="b">
        <v>0</v>
      </c>
      <c r="E50" s="47"/>
      <c r="F50" s="10" t="s">
        <v>149</v>
      </c>
      <c r="G50" s="49">
        <f>IF(A50,IF(D50,IF('SE4X Production'!$E$47&lt;3,MIN('SE4X Production'!$E$32,2),MIN('SE4X Production'!$E$32,3)),G50),0)</f>
        <v>0</v>
      </c>
      <c r="H50" s="49">
        <f>IF(A50,IF(D50,IF('SE4X Production'!$E$47&lt;3,MIN('SE4X Production'!$E$33,2),MIN('SE4X Production'!$E$33,3)),H50),0)</f>
        <v>0</v>
      </c>
      <c r="I50" s="49">
        <f>IF(A50,IF(D50,MIN('SE4X Production'!$E$34,3),I50),0)</f>
        <v>0</v>
      </c>
      <c r="J50" s="65">
        <f>IF(A50,IF(D50,MIN('SE4X Production'!$E$35,7),J50),1)</f>
        <v>1</v>
      </c>
      <c r="K50" s="81" t="str">
        <f t="shared" si="4"/>
        <v/>
      </c>
      <c r="L50" s="39" t="s">
        <v>17</v>
      </c>
      <c r="M50" s="49">
        <f>IF(A50,IF(D50,MIN('SE4X Production'!$E$41,2),M50),0)</f>
        <v>0</v>
      </c>
      <c r="N50" s="67" t="str">
        <f>IF(A50,IF(D50,IF('SE4X Production'!$E$47&gt;=3," Fast 2",""),N50),"")</f>
        <v/>
      </c>
      <c r="O50" s="49" t="str">
        <f>IF(A50,IF(D50,IF('SE4X Production'!$E$47&gt;=3,IF('SE4X Production'!$E$54&gt;=2,2,0),""),O50),"")</f>
        <v/>
      </c>
      <c r="P50" s="77"/>
      <c r="Q50" s="168"/>
      <c r="R50" s="83"/>
    </row>
    <row r="51" spans="1:18" ht="13.5" customHeight="1" x14ac:dyDescent="0.3">
      <c r="A51" s="47" t="b">
        <v>0</v>
      </c>
      <c r="D51" s="47" t="b">
        <v>0</v>
      </c>
      <c r="E51" s="47"/>
      <c r="F51" s="10" t="s">
        <v>150</v>
      </c>
      <c r="G51" s="49">
        <f>IF(A51,IF(D51,IF('SE4X Production'!$E$47&lt;3,MIN('SE4X Production'!$E$32,2),MIN('SE4X Production'!$E$32,3)),G51),0)</f>
        <v>0</v>
      </c>
      <c r="H51" s="49">
        <f>IF(A51,IF(D51,IF('SE4X Production'!$E$47&lt;3,MIN('SE4X Production'!$E$33,2),MIN('SE4X Production'!$E$33,3)),H51),0)</f>
        <v>0</v>
      </c>
      <c r="I51" s="49">
        <f>IF(A51,IF(D51,MIN('SE4X Production'!$E$34,3),I51),0)</f>
        <v>0</v>
      </c>
      <c r="J51" s="65">
        <f>IF(A51,IF(D51,MIN('SE4X Production'!$E$35,7),J51),1)</f>
        <v>1</v>
      </c>
      <c r="K51" s="81" t="str">
        <f t="shared" si="4"/>
        <v/>
      </c>
      <c r="L51" s="39" t="s">
        <v>17</v>
      </c>
      <c r="M51" s="49">
        <f>IF(A51,IF(D51,MIN('SE4X Production'!$E$41,2),M51),0)</f>
        <v>0</v>
      </c>
      <c r="N51" s="67" t="str">
        <f>IF(A51,IF(D51,IF('SE4X Production'!$E$47&gt;=3," Fast 2",""),N51),"")</f>
        <v/>
      </c>
      <c r="O51" s="49" t="str">
        <f>IF(A51,IF(D51,IF('SE4X Production'!$E$47&gt;=3,IF('SE4X Production'!$E$54&gt;=2,2,0),""),O51),"")</f>
        <v/>
      </c>
      <c r="P51" s="77"/>
      <c r="Q51" s="168"/>
      <c r="R51" s="83"/>
    </row>
    <row r="52" spans="1:18" ht="13.5" customHeight="1" x14ac:dyDescent="0.3">
      <c r="A52" s="47" t="b">
        <v>0</v>
      </c>
      <c r="D52" s="47" t="b">
        <v>0</v>
      </c>
      <c r="E52" s="47"/>
      <c r="F52" s="10" t="s">
        <v>151</v>
      </c>
      <c r="G52" s="49">
        <f>IF(A52,IF(D52,IF('SE4X Production'!$E$47&lt;3,MIN('SE4X Production'!$E$32,2),MIN('SE4X Production'!$E$32,3)),G52),0)</f>
        <v>0</v>
      </c>
      <c r="H52" s="49">
        <f>IF(A52,IF(D52,IF('SE4X Production'!$E$47&lt;3,MIN('SE4X Production'!$E$33,2),MIN('SE4X Production'!$E$33,3)),H52),0)</f>
        <v>0</v>
      </c>
      <c r="I52" s="49">
        <f>IF(A52,IF(D52,MIN('SE4X Production'!$E$34,3),I52),0)</f>
        <v>0</v>
      </c>
      <c r="J52" s="65">
        <f>IF(A52,IF(D52,MIN('SE4X Production'!$E$35,7),J52),1)</f>
        <v>1</v>
      </c>
      <c r="K52" s="81" t="str">
        <f t="shared" si="4"/>
        <v/>
      </c>
      <c r="L52" s="39" t="s">
        <v>17</v>
      </c>
      <c r="M52" s="49">
        <f>IF(A52,IF(D52,MIN('SE4X Production'!$E$41,2),M52),0)</f>
        <v>0</v>
      </c>
      <c r="N52" s="67" t="str">
        <f>IF(A52,IF(D52,IF('SE4X Production'!$E$47&gt;=3," Fast 2",""),N52),"")</f>
        <v/>
      </c>
      <c r="O52" s="49" t="str">
        <f>IF(A52,IF(D52,IF('SE4X Production'!$E$47&gt;=3,IF('SE4X Production'!$E$54&gt;=2,2,0),""),O52),"")</f>
        <v/>
      </c>
      <c r="P52" s="77"/>
      <c r="Q52" s="168"/>
      <c r="R52" s="83"/>
    </row>
    <row r="53" spans="1:18" ht="13.5" customHeight="1" x14ac:dyDescent="0.3">
      <c r="A53" s="47" t="b">
        <v>0</v>
      </c>
      <c r="D53" s="47" t="b">
        <v>0</v>
      </c>
      <c r="E53" s="47"/>
      <c r="F53" s="10" t="s">
        <v>152</v>
      </c>
      <c r="G53" s="49">
        <f>IF(A53,IF(D53,IF('SE4X Production'!$E$47&lt;3,MIN('SE4X Production'!$E$32,2),MIN('SE4X Production'!$E$32,3)),G53),0)</f>
        <v>0</v>
      </c>
      <c r="H53" s="49">
        <f>IF(A53,IF(D53,IF('SE4X Production'!$E$47&lt;3,MIN('SE4X Production'!$E$33,2),MIN('SE4X Production'!$E$33,3)),H53),0)</f>
        <v>0</v>
      </c>
      <c r="I53" s="49">
        <f>IF(A53,IF(D53,MIN('SE4X Production'!$E$34,3),I53),0)</f>
        <v>0</v>
      </c>
      <c r="J53" s="65">
        <f>IF(A53,IF(D53,MIN('SE4X Production'!$E$35,7),J53),1)</f>
        <v>1</v>
      </c>
      <c r="K53" s="81" t="str">
        <f t="shared" si="4"/>
        <v/>
      </c>
      <c r="L53" s="39" t="s">
        <v>17</v>
      </c>
      <c r="M53" s="49">
        <f>IF(A53,IF(D53,MIN('SE4X Production'!$E$41,2),M53),0)</f>
        <v>0</v>
      </c>
      <c r="N53" s="67" t="str">
        <f>IF(A53,IF(D53,IF('SE4X Production'!$E$47&gt;=3," Fast 2",""),N53),"")</f>
        <v/>
      </c>
      <c r="O53" s="49" t="str">
        <f>IF(A53,IF(D53,IF('SE4X Production'!$E$47&gt;=3,IF('SE4X Production'!$E$54&gt;=2,2,0),""),O53),"")</f>
        <v/>
      </c>
      <c r="P53" s="77"/>
      <c r="Q53" s="168"/>
      <c r="R53" s="83"/>
    </row>
    <row r="54" spans="1:18" ht="13.5" customHeight="1" x14ac:dyDescent="0.3">
      <c r="A54" s="47" t="b">
        <v>0</v>
      </c>
      <c r="D54" s="47" t="b">
        <v>0</v>
      </c>
      <c r="E54" s="47"/>
      <c r="F54" s="10" t="s">
        <v>153</v>
      </c>
      <c r="G54" s="49">
        <f>IF(A54,IF(D54,IF('SE4X Production'!$E$47&lt;3,MIN('SE4X Production'!$E$32,2),MIN('SE4X Production'!$E$32,3)),G54),0)</f>
        <v>0</v>
      </c>
      <c r="H54" s="49">
        <f>IF(A54,IF(D54,IF('SE4X Production'!$E$47&lt;3,MIN('SE4X Production'!$E$33,2),MIN('SE4X Production'!$E$33,3)),H54),0)</f>
        <v>0</v>
      </c>
      <c r="I54" s="49">
        <f>IF(A54,IF(D54,MIN('SE4X Production'!$E$34,3),I54),0)</f>
        <v>0</v>
      </c>
      <c r="J54" s="65">
        <f>IF(A54,IF(D54,MIN('SE4X Production'!$E$35,7),J54),1)</f>
        <v>1</v>
      </c>
      <c r="K54" s="81" t="str">
        <f t="shared" si="4"/>
        <v/>
      </c>
      <c r="L54" s="39" t="s">
        <v>17</v>
      </c>
      <c r="M54" s="49">
        <f>IF(A54,IF(D54,MIN('SE4X Production'!$E$41,2),M54),0)</f>
        <v>0</v>
      </c>
      <c r="N54" s="67" t="str">
        <f>IF(A54,IF(D54,IF('SE4X Production'!$E$47&gt;=3," Fast 2",""),N54),"")</f>
        <v/>
      </c>
      <c r="O54" s="49" t="str">
        <f>IF(A54,IF(D54,IF('SE4X Production'!$E$47&gt;=3,IF('SE4X Production'!$E$54&gt;=2,2,0),""),O54),"")</f>
        <v/>
      </c>
      <c r="P54" s="77"/>
      <c r="Q54" s="168"/>
      <c r="R54" s="83"/>
    </row>
    <row r="55" spans="1:18" ht="13.5" customHeight="1" x14ac:dyDescent="0.3">
      <c r="A55" s="47" t="b">
        <v>0</v>
      </c>
      <c r="D55" s="47" t="b">
        <v>0</v>
      </c>
      <c r="E55" s="47"/>
      <c r="F55" s="41" t="s">
        <v>155</v>
      </c>
      <c r="G55" s="50">
        <f>IF(A55,IF(D55,MIN('SE4X Production'!$E$32,1),G55),0)</f>
        <v>0</v>
      </c>
      <c r="H55" s="50">
        <f>IF(A55,IF(D55,MIN('SE4X Production'!$E$33,1),H55),0)</f>
        <v>0</v>
      </c>
      <c r="I55" s="50">
        <f>IF(A55,IF(D55,MIN('SE4X Production'!$E$34,3),I55),0)</f>
        <v>0</v>
      </c>
      <c r="J55" s="42"/>
      <c r="K55" s="50"/>
      <c r="L55" s="43" t="s">
        <v>13</v>
      </c>
      <c r="M55" s="50">
        <f>IF(A55,IF(D55,MIN('SE4X Production'!$E$36,4),M55),0)</f>
        <v>0</v>
      </c>
      <c r="N55" s="70"/>
      <c r="O55" s="46"/>
      <c r="P55" s="80"/>
      <c r="Q55" s="168"/>
    </row>
    <row r="56" spans="1:18" ht="13.5" customHeight="1" x14ac:dyDescent="0.3">
      <c r="A56" s="47" t="b">
        <v>0</v>
      </c>
      <c r="D56" s="47" t="b">
        <v>0</v>
      </c>
      <c r="E56" s="47"/>
      <c r="F56" s="41" t="s">
        <v>156</v>
      </c>
      <c r="G56" s="50">
        <f>IF(A56,IF(D56,MIN('SE4X Production'!$E$32,1),G56),0)</f>
        <v>0</v>
      </c>
      <c r="H56" s="50">
        <f>IF(A56,IF(D56,MIN('SE4X Production'!$E$33,1),H56),0)</f>
        <v>0</v>
      </c>
      <c r="I56" s="50">
        <f>IF(A56,IF(D56,MIN('SE4X Production'!$E$34,3),I56),0)</f>
        <v>0</v>
      </c>
      <c r="J56" s="42"/>
      <c r="K56" s="50"/>
      <c r="L56" s="43" t="s">
        <v>13</v>
      </c>
      <c r="M56" s="50">
        <f>IF(A56,IF(D56,MIN('SE4X Production'!$E$36,4),M56),0)</f>
        <v>0</v>
      </c>
      <c r="N56" s="70"/>
      <c r="O56" s="46"/>
      <c r="P56" s="80"/>
      <c r="Q56" s="168"/>
    </row>
    <row r="57" spans="1:18" ht="13.5" customHeight="1" x14ac:dyDescent="0.3">
      <c r="A57" s="47" t="b">
        <v>0</v>
      </c>
      <c r="D57" s="47" t="b">
        <v>0</v>
      </c>
      <c r="E57" s="47"/>
      <c r="F57" s="41" t="s">
        <v>157</v>
      </c>
      <c r="G57" s="50">
        <f>IF(A57,IF(D57,MIN('SE4X Production'!$E$32,1),G57),0)</f>
        <v>0</v>
      </c>
      <c r="H57" s="50">
        <f>IF(A57,IF(D57,MIN('SE4X Production'!$E$33,1),H57),0)</f>
        <v>0</v>
      </c>
      <c r="I57" s="50">
        <f>IF(A57,IF(D57,MIN('SE4X Production'!$E$34,3),I57),0)</f>
        <v>0</v>
      </c>
      <c r="J57" s="42"/>
      <c r="K57" s="50"/>
      <c r="L57" s="43" t="s">
        <v>13</v>
      </c>
      <c r="M57" s="50">
        <f>IF(A57,IF(D57,MIN('SE4X Production'!$E$36,4),M57),0)</f>
        <v>0</v>
      </c>
      <c r="N57" s="70"/>
      <c r="O57" s="46"/>
      <c r="P57" s="80"/>
      <c r="Q57" s="168"/>
    </row>
    <row r="58" spans="1:18" ht="13.5" customHeight="1" x14ac:dyDescent="0.3">
      <c r="A58" s="47" t="b">
        <v>0</v>
      </c>
      <c r="D58" s="47" t="b">
        <v>0</v>
      </c>
      <c r="E58" s="47"/>
      <c r="F58" s="41" t="s">
        <v>158</v>
      </c>
      <c r="G58" s="50">
        <f>IF(A58,IF(D58,MIN('SE4X Production'!$E$32,1),G58),0)</f>
        <v>0</v>
      </c>
      <c r="H58" s="50">
        <f>IF(A58,IF(D58,MIN('SE4X Production'!$E$33,1),H58),0)</f>
        <v>0</v>
      </c>
      <c r="I58" s="50">
        <f>IF(A58,IF(D58,MIN('SE4X Production'!$E$34,3),I58),0)</f>
        <v>0</v>
      </c>
      <c r="J58" s="42"/>
      <c r="K58" s="50"/>
      <c r="L58" s="43" t="s">
        <v>13</v>
      </c>
      <c r="M58" s="50">
        <f>IF(A58,IF(D58,MIN('SE4X Production'!$E$36,4),M58),0)</f>
        <v>0</v>
      </c>
      <c r="N58" s="70"/>
      <c r="O58" s="46"/>
      <c r="P58" s="80"/>
      <c r="Q58" s="168"/>
    </row>
    <row r="59" spans="1:18" ht="13.5" customHeight="1" x14ac:dyDescent="0.3">
      <c r="A59" s="47" t="b">
        <v>0</v>
      </c>
      <c r="D59" s="47" t="b">
        <v>0</v>
      </c>
      <c r="E59" s="47"/>
      <c r="F59" s="41" t="s">
        <v>159</v>
      </c>
      <c r="G59" s="50">
        <f>IF(A59,IF(D59,MIN('SE4X Production'!$E$32,1),G59),0)</f>
        <v>0</v>
      </c>
      <c r="H59" s="50">
        <f>IF(A59,IF(D59,MIN('SE4X Production'!$E$33,1),H59),0)</f>
        <v>0</v>
      </c>
      <c r="I59" s="50">
        <f>IF(A59,IF(D59,MIN('SE4X Production'!$E$34,3),I59),0)</f>
        <v>0</v>
      </c>
      <c r="J59" s="42"/>
      <c r="K59" s="50"/>
      <c r="L59" s="43" t="s">
        <v>13</v>
      </c>
      <c r="M59" s="50">
        <f>IF(A59,IF(D59,MIN('SE4X Production'!$E$36,4),M59),0)</f>
        <v>0</v>
      </c>
      <c r="N59" s="70"/>
      <c r="O59" s="46"/>
      <c r="P59" s="80"/>
      <c r="Q59" s="168"/>
    </row>
    <row r="60" spans="1:18" ht="13.5" customHeight="1" x14ac:dyDescent="0.3">
      <c r="A60" s="47" t="b">
        <v>0</v>
      </c>
      <c r="D60" s="47" t="b">
        <v>0</v>
      </c>
      <c r="E60" s="47"/>
      <c r="F60" s="41" t="s">
        <v>160</v>
      </c>
      <c r="G60" s="50">
        <f>IF(A60,IF(D60,MIN('SE4X Production'!$E$32,1),G60),0)</f>
        <v>0</v>
      </c>
      <c r="H60" s="50">
        <f>IF(A60,IF(D60,MIN('SE4X Production'!$E$33,1),H60),0)</f>
        <v>0</v>
      </c>
      <c r="I60" s="50">
        <f>IF(A60,IF(D60,MIN('SE4X Production'!$E$34,3),I60),0)</f>
        <v>0</v>
      </c>
      <c r="J60" s="42"/>
      <c r="K60" s="50"/>
      <c r="L60" s="43" t="s">
        <v>13</v>
      </c>
      <c r="M60" s="50">
        <f>IF(A60,IF(D60,MIN('SE4X Production'!$E$36,4),M60),0)</f>
        <v>0</v>
      </c>
      <c r="N60" s="70"/>
      <c r="O60" s="46"/>
      <c r="P60" s="80"/>
      <c r="Q60" s="168"/>
    </row>
    <row r="61" spans="1:18" ht="13.5" customHeight="1" x14ac:dyDescent="0.3">
      <c r="A61" s="47" t="b">
        <v>0</v>
      </c>
      <c r="D61" s="47" t="b">
        <v>0</v>
      </c>
      <c r="E61" s="47"/>
      <c r="F61" s="41" t="s">
        <v>161</v>
      </c>
      <c r="G61" s="50">
        <f>IF(A61,IF(D61,MIN('SE4X Production'!$E$32,1),G61),0)</f>
        <v>0</v>
      </c>
      <c r="H61" s="50">
        <f>IF(A61,IF(D61,MIN('SE4X Production'!$E$33,1),H61),0)</f>
        <v>0</v>
      </c>
      <c r="I61" s="50">
        <f>IF(A61,IF(D61,MIN('SE4X Production'!$E$34,3),I61),0)</f>
        <v>0</v>
      </c>
      <c r="J61" s="42"/>
      <c r="K61" s="50"/>
      <c r="L61" s="43" t="s">
        <v>13</v>
      </c>
      <c r="M61" s="50">
        <f>IF(A61,IF(D61,MIN('SE4X Production'!$E$36,4),M61),0)</f>
        <v>0</v>
      </c>
      <c r="N61" s="70"/>
      <c r="O61" s="46"/>
      <c r="P61" s="80"/>
      <c r="Q61" s="168"/>
    </row>
    <row r="62" spans="1:18" ht="13.5" customHeight="1" x14ac:dyDescent="0.3">
      <c r="A62" s="47" t="b">
        <v>0</v>
      </c>
      <c r="D62" s="47" t="b">
        <v>0</v>
      </c>
      <c r="E62" s="47"/>
      <c r="F62" s="41" t="s">
        <v>162</v>
      </c>
      <c r="G62" s="50">
        <f>IF(A62,IF(D62,MIN('SE4X Production'!$E$32,1),G62),0)</f>
        <v>0</v>
      </c>
      <c r="H62" s="50">
        <f>IF(A62,IF(D62,MIN('SE4X Production'!$E$33,1),H62),0)</f>
        <v>0</v>
      </c>
      <c r="I62" s="50">
        <f>IF(A62,IF(D62,MIN('SE4X Production'!$E$34,3),I62),0)</f>
        <v>0</v>
      </c>
      <c r="J62" s="42"/>
      <c r="K62" s="50"/>
      <c r="L62" s="43" t="s">
        <v>13</v>
      </c>
      <c r="M62" s="50">
        <f>IF(A62,IF(D62,MIN('SE4X Production'!$E$36,4),M62),0)</f>
        <v>0</v>
      </c>
      <c r="N62" s="70"/>
      <c r="O62" s="46"/>
      <c r="P62" s="80"/>
      <c r="Q62" s="168"/>
    </row>
    <row r="63" spans="1:18" ht="13.5" customHeight="1" x14ac:dyDescent="0.3">
      <c r="A63" s="47" t="b">
        <v>0</v>
      </c>
      <c r="D63" s="47" t="b">
        <v>0</v>
      </c>
      <c r="E63" s="47"/>
      <c r="F63" s="41" t="s">
        <v>163</v>
      </c>
      <c r="G63" s="50">
        <f>IF(A63,IF(D63,MIN('SE4X Production'!$E$32,1),G63),0)</f>
        <v>0</v>
      </c>
      <c r="H63" s="50">
        <f>IF(A63,IF(D63,MIN('SE4X Production'!$E$33,1),H63),0)</f>
        <v>0</v>
      </c>
      <c r="I63" s="50">
        <f>IF(A63,IF(D63,MIN('SE4X Production'!$E$34,3),I63),0)</f>
        <v>0</v>
      </c>
      <c r="J63" s="42"/>
      <c r="K63" s="50"/>
      <c r="L63" s="43" t="s">
        <v>13</v>
      </c>
      <c r="M63" s="50">
        <f>IF(A63,IF(D63,MIN('SE4X Production'!$E$36,4),M63),0)</f>
        <v>0</v>
      </c>
      <c r="N63" s="70"/>
      <c r="O63" s="46"/>
      <c r="P63" s="80"/>
      <c r="Q63" s="168"/>
    </row>
    <row r="64" spans="1:18" ht="13.5" customHeight="1" x14ac:dyDescent="0.3">
      <c r="A64" s="47" t="b">
        <v>0</v>
      </c>
      <c r="D64" s="47" t="b">
        <v>0</v>
      </c>
      <c r="E64" s="47"/>
      <c r="F64" s="41" t="s">
        <v>164</v>
      </c>
      <c r="G64" s="50">
        <f>IF(A64,IF(D64,MIN('SE4X Production'!$E$32,1),G64),0)</f>
        <v>0</v>
      </c>
      <c r="H64" s="50">
        <f>IF(A64,IF(D64,MIN('SE4X Production'!$E$33,1),H64),0)</f>
        <v>0</v>
      </c>
      <c r="I64" s="50">
        <f>IF(A64,IF(D64,MIN('SE4X Production'!$E$34,3),I64),0)</f>
        <v>0</v>
      </c>
      <c r="J64" s="42"/>
      <c r="K64" s="50"/>
      <c r="L64" s="43" t="s">
        <v>13</v>
      </c>
      <c r="M64" s="50">
        <f>IF(A64,IF(D64,MIN('SE4X Production'!$E$36,4),M64),0)</f>
        <v>0</v>
      </c>
      <c r="N64" s="70"/>
      <c r="O64" s="46"/>
      <c r="P64" s="80"/>
      <c r="Q64" s="168"/>
    </row>
    <row r="65" spans="1:18" ht="13.5" customHeight="1" x14ac:dyDescent="0.3">
      <c r="A65" s="47" t="b">
        <v>0</v>
      </c>
      <c r="D65" s="47" t="b">
        <v>0</v>
      </c>
      <c r="E65" s="47"/>
      <c r="F65" s="10" t="s">
        <v>165</v>
      </c>
      <c r="G65" s="166">
        <f>IF(A65,IF(D65,MIN('SE4X Production'!$E$32,1),G65),0)</f>
        <v>0</v>
      </c>
      <c r="H65" s="166">
        <f>IF(A65,IF(D65,MIN('SE4X Production'!$E$33,1),H65),0)</f>
        <v>0</v>
      </c>
      <c r="I65" s="166">
        <f>IF(A65,IF(D65,MIN('SE4X Production'!$E$34,3),I65),0)</f>
        <v>0</v>
      </c>
      <c r="J65" s="166">
        <f>IF(A65,IF(D65,MIN('SE4X Production'!$E$35,7),J65),1)</f>
        <v>1</v>
      </c>
      <c r="K65" s="81" t="str">
        <f>IF(A65,IF(D65,IF(J65&gt;=5,"+",""),K65),"")</f>
        <v/>
      </c>
      <c r="L65" s="39"/>
      <c r="M65" s="49"/>
      <c r="N65" s="67"/>
      <c r="O65" s="49"/>
      <c r="P65" s="77"/>
      <c r="Q65" s="168"/>
      <c r="R65" s="47" t="b">
        <v>0</v>
      </c>
    </row>
    <row r="66" spans="1:18" ht="13.5" customHeight="1" x14ac:dyDescent="0.3">
      <c r="A66" s="47" t="b">
        <v>0</v>
      </c>
      <c r="D66" s="47" t="b">
        <v>0</v>
      </c>
      <c r="E66" s="47"/>
      <c r="F66" s="10" t="s">
        <v>166</v>
      </c>
      <c r="G66" s="166">
        <f>IF(A66,IF(D66,MIN('SE4X Production'!$E$32,1),G66),0)</f>
        <v>0</v>
      </c>
      <c r="H66" s="166">
        <f>IF(A66,IF(D66,MIN('SE4X Production'!$E$33,1),H66),0)</f>
        <v>0</v>
      </c>
      <c r="I66" s="166">
        <f>IF(A66,IF(D66,MIN('SE4X Production'!$E$34,3),I66),0)</f>
        <v>0</v>
      </c>
      <c r="J66" s="166">
        <f>IF(A66,IF(D66,MIN('SE4X Production'!$E$35,7),J66),1)</f>
        <v>1</v>
      </c>
      <c r="K66" s="81" t="str">
        <f t="shared" ref="K66:K70" si="5">IF(A66,IF(D66,IF(J66&gt;=5,"+",""),K66),"")</f>
        <v/>
      </c>
      <c r="L66" s="39"/>
      <c r="M66" s="49"/>
      <c r="N66" s="67"/>
      <c r="O66" s="49"/>
      <c r="P66" s="77"/>
      <c r="Q66" s="168"/>
      <c r="R66" s="47" t="b">
        <v>0</v>
      </c>
    </row>
    <row r="67" spans="1:18" ht="13.5" customHeight="1" x14ac:dyDescent="0.3">
      <c r="A67" s="47" t="b">
        <v>0</v>
      </c>
      <c r="D67" s="47" t="b">
        <v>0</v>
      </c>
      <c r="E67" s="47"/>
      <c r="F67" s="10" t="s">
        <v>167</v>
      </c>
      <c r="G67" s="166">
        <f>IF(A67,IF(D67,MIN('SE4X Production'!$E$32,1),G67),0)</f>
        <v>0</v>
      </c>
      <c r="H67" s="166">
        <f>IF(A67,IF(D67,MIN('SE4X Production'!$E$33,1),H67),0)</f>
        <v>0</v>
      </c>
      <c r="I67" s="166">
        <f>IF(A67,IF(D67,MIN('SE4X Production'!$E$34,3),I67),0)</f>
        <v>0</v>
      </c>
      <c r="J67" s="166">
        <f>IF(A67,IF(D67,MIN('SE4X Production'!$E$35,7),J67),1)</f>
        <v>1</v>
      </c>
      <c r="K67" s="81" t="str">
        <f t="shared" si="5"/>
        <v/>
      </c>
      <c r="L67" s="39"/>
      <c r="M67" s="49"/>
      <c r="N67" s="67"/>
      <c r="O67" s="49"/>
      <c r="P67" s="77"/>
      <c r="Q67" s="168"/>
      <c r="R67" s="47" t="b">
        <v>0</v>
      </c>
    </row>
    <row r="68" spans="1:18" ht="13.5" customHeight="1" x14ac:dyDescent="0.3">
      <c r="A68" s="47" t="b">
        <v>0</v>
      </c>
      <c r="D68" s="47" t="b">
        <v>0</v>
      </c>
      <c r="E68" s="47"/>
      <c r="F68" s="10" t="s">
        <v>168</v>
      </c>
      <c r="G68" s="166">
        <f>IF(A68,IF(D68,MIN('SE4X Production'!$E$32,1),G68),0)</f>
        <v>0</v>
      </c>
      <c r="H68" s="166">
        <f>IF(A68,IF(D68,MIN('SE4X Production'!$E$33,1),H68),0)</f>
        <v>0</v>
      </c>
      <c r="I68" s="166">
        <f>IF(A68,IF(D68,MIN('SE4X Production'!$E$34,3),I68),0)</f>
        <v>0</v>
      </c>
      <c r="J68" s="166">
        <f>IF(A68,IF(D68,MIN('SE4X Production'!$E$35,7),J68),1)</f>
        <v>1</v>
      </c>
      <c r="K68" s="81" t="str">
        <f t="shared" si="5"/>
        <v/>
      </c>
      <c r="L68" s="39"/>
      <c r="M68" s="49"/>
      <c r="N68" s="67"/>
      <c r="O68" s="49"/>
      <c r="P68" s="77"/>
      <c r="Q68" s="168"/>
      <c r="R68" s="47" t="b">
        <v>0</v>
      </c>
    </row>
    <row r="69" spans="1:18" ht="13.5" customHeight="1" x14ac:dyDescent="0.3">
      <c r="A69" s="47" t="b">
        <v>0</v>
      </c>
      <c r="D69" s="47" t="b">
        <v>0</v>
      </c>
      <c r="E69" s="47"/>
      <c r="F69" s="10" t="s">
        <v>169</v>
      </c>
      <c r="G69" s="166">
        <f>IF(A69,IF(D69,MIN('SE4X Production'!$E$32,1),G69),0)</f>
        <v>0</v>
      </c>
      <c r="H69" s="166">
        <f>IF(A69,IF(D69,MIN('SE4X Production'!$E$33,1),H69),0)</f>
        <v>0</v>
      </c>
      <c r="I69" s="166">
        <f>IF(A69,IF(D69,MIN('SE4X Production'!$E$34,3),I69),0)</f>
        <v>0</v>
      </c>
      <c r="J69" s="166">
        <f>IF(A69,IF(D69,MIN('SE4X Production'!$E$35,7),J69),1)</f>
        <v>1</v>
      </c>
      <c r="K69" s="81" t="str">
        <f t="shared" si="5"/>
        <v/>
      </c>
      <c r="L69" s="39"/>
      <c r="M69" s="49"/>
      <c r="N69" s="67"/>
      <c r="O69" s="49"/>
      <c r="P69" s="77"/>
      <c r="Q69" s="168"/>
      <c r="R69" s="47" t="b">
        <v>0</v>
      </c>
    </row>
    <row r="70" spans="1:18" ht="13.5" customHeight="1" x14ac:dyDescent="0.3">
      <c r="A70" s="47" t="b">
        <v>0</v>
      </c>
      <c r="D70" s="47" t="b">
        <v>0</v>
      </c>
      <c r="E70" s="47"/>
      <c r="F70" s="10" t="s">
        <v>170</v>
      </c>
      <c r="G70" s="166">
        <f>IF(A70,IF(D70,MIN('SE4X Production'!$E$32,1),G70),0)</f>
        <v>0</v>
      </c>
      <c r="H70" s="166">
        <f>IF(A70,IF(D70,MIN('SE4X Production'!$E$33,1),H70),0)</f>
        <v>0</v>
      </c>
      <c r="I70" s="166">
        <f>IF(A70,IF(D70,MIN('SE4X Production'!$E$34,3),I70),0)</f>
        <v>0</v>
      </c>
      <c r="J70" s="166">
        <f>IF(A70,IF(D70,MIN('SE4X Production'!$E$35,7),J70),1)</f>
        <v>1</v>
      </c>
      <c r="K70" s="81" t="str">
        <f t="shared" si="5"/>
        <v/>
      </c>
      <c r="L70" s="39"/>
      <c r="M70" s="49"/>
      <c r="N70" s="67"/>
      <c r="O70" s="49"/>
      <c r="P70" s="77"/>
      <c r="Q70" s="168"/>
      <c r="R70" s="47" t="b">
        <v>0</v>
      </c>
    </row>
    <row r="71" spans="1:18" ht="13.5" customHeight="1" x14ac:dyDescent="0.3">
      <c r="A71" s="47" t="b">
        <v>0</v>
      </c>
      <c r="D71" s="47" t="b">
        <v>0</v>
      </c>
      <c r="E71" s="47"/>
      <c r="F71" s="41" t="s">
        <v>171</v>
      </c>
      <c r="G71" s="50">
        <f>IF(A71,IF(D71,MIN('SE4X Production'!$E$32,3),G71),0)</f>
        <v>0</v>
      </c>
      <c r="H71" s="50">
        <f>IF(A71,IF(D71,MIN('SE4X Production'!$E$33,3),H71),0)</f>
        <v>0</v>
      </c>
      <c r="I71" s="50">
        <f>IF(A71,IF(D71,MIN('SE4X Production'!$E$34,3),I71),0)</f>
        <v>0</v>
      </c>
      <c r="J71" s="42">
        <f>IF(A71,IF(D71,MIN('SE4X Production'!$E$35,7),J71),1)</f>
        <v>1</v>
      </c>
      <c r="K71" s="50" t="str">
        <f>IF(A71,IF(D71,IF(J71&gt;=5,"+",""),K71),"")</f>
        <v/>
      </c>
      <c r="L71" s="43" t="s">
        <v>179</v>
      </c>
      <c r="M71" s="50">
        <f>IF(A71,IF(D71,IF('SE4X Production'!$E$54&gt;=2,2,0),M71),0)</f>
        <v>0</v>
      </c>
      <c r="N71" s="170" t="s">
        <v>187</v>
      </c>
      <c r="O71" s="50">
        <f>IF(A71,IF(D71,IF('SE4X Production'!$E$40&gt;=2,2,0),O71),0)</f>
        <v>0</v>
      </c>
      <c r="P71" s="169" t="s">
        <v>177</v>
      </c>
      <c r="Q71" s="168"/>
      <c r="R71" s="47" t="b">
        <v>0</v>
      </c>
    </row>
    <row r="72" spans="1:18" ht="13.5" customHeight="1" x14ac:dyDescent="0.3">
      <c r="A72" s="47" t="b">
        <v>0</v>
      </c>
      <c r="D72" s="47" t="b">
        <v>0</v>
      </c>
      <c r="E72" s="47"/>
      <c r="F72" s="41" t="s">
        <v>172</v>
      </c>
      <c r="G72" s="50">
        <f>IF(A72,IF(D72,MIN('SE4X Production'!$E$32,3),G72),0)</f>
        <v>0</v>
      </c>
      <c r="H72" s="50">
        <f>IF(A72,IF(D72,MIN('SE4X Production'!$E$33,3),H72),0)</f>
        <v>0</v>
      </c>
      <c r="I72" s="50">
        <f>IF(A72,IF(D72,MIN('SE4X Production'!$E$34,3),I72),0)</f>
        <v>0</v>
      </c>
      <c r="J72" s="42">
        <f>IF(A72,IF(D72,MIN('SE4X Production'!$E$35,7),J72),1)</f>
        <v>1</v>
      </c>
      <c r="K72" s="50" t="str">
        <f t="shared" ref="K72:K76" si="6">IF(A72,IF(D72,IF(J72&gt;=5,"+",""),K72),"")</f>
        <v/>
      </c>
      <c r="L72" s="43" t="s">
        <v>179</v>
      </c>
      <c r="M72" s="50">
        <f>IF(A72,IF(D72,IF('SE4X Production'!$E$54&gt;=2,2,0),M72),0)</f>
        <v>0</v>
      </c>
      <c r="N72" s="170" t="s">
        <v>187</v>
      </c>
      <c r="O72" s="50">
        <f>IF(A72,IF(D72,IF('SE4X Production'!$E$40&gt;=2,2,0),O72),0)</f>
        <v>0</v>
      </c>
      <c r="P72" s="169" t="s">
        <v>177</v>
      </c>
      <c r="Q72" s="168"/>
      <c r="R72" s="47" t="b">
        <v>0</v>
      </c>
    </row>
    <row r="73" spans="1:18" ht="13.5" customHeight="1" x14ac:dyDescent="0.3">
      <c r="A73" s="47" t="b">
        <v>0</v>
      </c>
      <c r="D73" s="47" t="b">
        <v>0</v>
      </c>
      <c r="E73" s="47"/>
      <c r="F73" s="41" t="s">
        <v>173</v>
      </c>
      <c r="G73" s="50">
        <f>IF(A73,IF(D73,MIN('SE4X Production'!$E$32,3),G73),0)</f>
        <v>0</v>
      </c>
      <c r="H73" s="50">
        <f>IF(A73,IF(D73,MIN('SE4X Production'!$E$33,3),H73),0)</f>
        <v>0</v>
      </c>
      <c r="I73" s="50">
        <f>IF(A73,IF(D73,MIN('SE4X Production'!$E$34,3),I73),0)</f>
        <v>0</v>
      </c>
      <c r="J73" s="42">
        <f>IF(A73,IF(D73,MIN('SE4X Production'!$E$35,7),J73),1)</f>
        <v>1</v>
      </c>
      <c r="K73" s="50" t="str">
        <f t="shared" si="6"/>
        <v/>
      </c>
      <c r="L73" s="43" t="s">
        <v>179</v>
      </c>
      <c r="M73" s="50">
        <f>IF(A73,IF(D73,IF('SE4X Production'!$E$54&gt;=2,2,0),M73),0)</f>
        <v>0</v>
      </c>
      <c r="N73" s="170" t="s">
        <v>187</v>
      </c>
      <c r="O73" s="50">
        <f>IF(A73,IF(D73,IF('SE4X Production'!$E$40&gt;=2,2,0),O73),0)</f>
        <v>0</v>
      </c>
      <c r="P73" s="169" t="s">
        <v>177</v>
      </c>
      <c r="Q73" s="168"/>
    </row>
    <row r="74" spans="1:18" ht="13.5" customHeight="1" x14ac:dyDescent="0.3">
      <c r="A74" s="47" t="b">
        <v>0</v>
      </c>
      <c r="D74" s="47" t="b">
        <v>0</v>
      </c>
      <c r="E74" s="47"/>
      <c r="F74" s="41" t="s">
        <v>174</v>
      </c>
      <c r="G74" s="50">
        <f>IF(A74,IF(D74,MIN('SE4X Production'!$E$32,3),G74),0)</f>
        <v>0</v>
      </c>
      <c r="H74" s="50">
        <f>IF(A74,IF(D74,MIN('SE4X Production'!$E$33,3),H74),0)</f>
        <v>0</v>
      </c>
      <c r="I74" s="50">
        <f>IF(A74,IF(D74,MIN('SE4X Production'!$E$34,3),I74),0)</f>
        <v>0</v>
      </c>
      <c r="J74" s="42">
        <f>IF(A74,IF(D74,MIN('SE4X Production'!$E$35,7),J74),1)</f>
        <v>1</v>
      </c>
      <c r="K74" s="50" t="str">
        <f t="shared" si="6"/>
        <v/>
      </c>
      <c r="L74" s="43" t="s">
        <v>179</v>
      </c>
      <c r="M74" s="50">
        <f>IF(A74,IF(D74,IF('SE4X Production'!$E$54&gt;=2,2,0),M74),0)</f>
        <v>0</v>
      </c>
      <c r="N74" s="170" t="s">
        <v>187</v>
      </c>
      <c r="O74" s="50">
        <f>IF(A74,IF(D74,IF('SE4X Production'!$E$40&gt;=2,2,0),O74),0)</f>
        <v>0</v>
      </c>
      <c r="P74" s="169" t="s">
        <v>177</v>
      </c>
      <c r="Q74" s="168"/>
    </row>
    <row r="75" spans="1:18" ht="13.5" customHeight="1" x14ac:dyDescent="0.3">
      <c r="A75" s="47" t="b">
        <v>0</v>
      </c>
      <c r="D75" s="47" t="b">
        <v>0</v>
      </c>
      <c r="E75" s="47"/>
      <c r="F75" s="41" t="s">
        <v>175</v>
      </c>
      <c r="G75" s="50">
        <f>IF(A75,IF(D75,MIN('SE4X Production'!$E$32,3),G75),0)</f>
        <v>0</v>
      </c>
      <c r="H75" s="50">
        <f>IF(A75,IF(D75,MIN('SE4X Production'!$E$33,3),H75),0)</f>
        <v>0</v>
      </c>
      <c r="I75" s="50">
        <f>IF(A75,IF(D75,MIN('SE4X Production'!$E$34,3),I75),0)</f>
        <v>0</v>
      </c>
      <c r="J75" s="42">
        <f>IF(A75,IF(D75,MIN('SE4X Production'!$E$35,7),J75),1)</f>
        <v>1</v>
      </c>
      <c r="K75" s="50" t="str">
        <f t="shared" si="6"/>
        <v/>
      </c>
      <c r="L75" s="43" t="s">
        <v>179</v>
      </c>
      <c r="M75" s="50">
        <f>IF(A75,IF(D75,IF('SE4X Production'!$E$54&gt;=2,2,0),M75),0)</f>
        <v>0</v>
      </c>
      <c r="N75" s="170" t="s">
        <v>187</v>
      </c>
      <c r="O75" s="50">
        <f>IF(A75,IF(D75,IF('SE4X Production'!$E$40&gt;=2,2,0),O75),0)</f>
        <v>0</v>
      </c>
      <c r="P75" s="169" t="s">
        <v>177</v>
      </c>
      <c r="Q75" s="168"/>
    </row>
    <row r="76" spans="1:18" ht="13.5" customHeight="1" x14ac:dyDescent="0.3">
      <c r="A76" s="47" t="b">
        <v>0</v>
      </c>
      <c r="D76" s="47" t="b">
        <v>0</v>
      </c>
      <c r="E76" s="47"/>
      <c r="F76" s="41" t="s">
        <v>176</v>
      </c>
      <c r="G76" s="50">
        <f>IF(A76,IF(D76,MIN('SE4X Production'!$E$32,3),G76),0)</f>
        <v>0</v>
      </c>
      <c r="H76" s="50">
        <f>IF(A76,IF(D76,MIN('SE4X Production'!$E$33,3),H76),0)</f>
        <v>0</v>
      </c>
      <c r="I76" s="50">
        <f>IF(A76,IF(D76,MIN('SE4X Production'!$E$34,3),I76),0)</f>
        <v>0</v>
      </c>
      <c r="J76" s="42">
        <f>IF(A76,IF(D76,MIN('SE4X Production'!$E$35,7),J76),1)</f>
        <v>1</v>
      </c>
      <c r="K76" s="50" t="str">
        <f t="shared" si="6"/>
        <v/>
      </c>
      <c r="L76" s="43" t="s">
        <v>179</v>
      </c>
      <c r="M76" s="50">
        <f>IF(A76,IF(D76,IF('SE4X Production'!$E$54&gt;=2,2,0),M76),0)</f>
        <v>0</v>
      </c>
      <c r="N76" s="170" t="s">
        <v>187</v>
      </c>
      <c r="O76" s="50">
        <f>IF(A76,IF(D76,IF('SE4X Production'!$E$40&gt;=2,2,0),O76),0)</f>
        <v>0</v>
      </c>
      <c r="P76" s="169" t="s">
        <v>177</v>
      </c>
      <c r="Q76" s="168"/>
    </row>
    <row r="77" spans="1:18" ht="13.5" customHeight="1" x14ac:dyDescent="0.3">
      <c r="A77" s="47" t="b">
        <v>0</v>
      </c>
      <c r="D77" s="47" t="b">
        <v>0</v>
      </c>
      <c r="E77" s="47"/>
      <c r="F77" s="171" t="s">
        <v>181</v>
      </c>
      <c r="G77" s="166">
        <f>IF(A77,IF(D77,MIN('SE4X Production'!$E$32,1),G77),0)</f>
        <v>0</v>
      </c>
      <c r="H77" s="166">
        <f>IF(A77,IF(D77,MIN('SE4X Production'!$E$33,1),H77),0)</f>
        <v>0</v>
      </c>
      <c r="I77" s="166">
        <f>IF(A77,IF(D77,MIN('SE4X Production'!$E$34,3),I77),0)</f>
        <v>0</v>
      </c>
      <c r="J77" s="166">
        <f>IF(A77,IF(D77,MIN('SE4X Production'!$E$35,7),J77),1)</f>
        <v>1</v>
      </c>
      <c r="K77" s="166" t="str">
        <f>IF(A77,IF(D77,IF(J77&gt;=6,"+",""),K77),"")</f>
        <v/>
      </c>
      <c r="L77" s="172" t="s">
        <v>41</v>
      </c>
      <c r="M77" s="166">
        <f>IF(A77,IF(D77,MIN('SE4X Production'!$E$44,3),M77),0)</f>
        <v>0</v>
      </c>
      <c r="N77" s="173"/>
      <c r="O77" s="174"/>
      <c r="P77" s="175"/>
      <c r="Q77" s="168"/>
    </row>
    <row r="78" spans="1:18" ht="13.5" customHeight="1" x14ac:dyDescent="0.3">
      <c r="A78" s="47" t="b">
        <v>0</v>
      </c>
      <c r="D78" s="47" t="b">
        <v>0</v>
      </c>
      <c r="E78" s="47"/>
      <c r="F78" s="171" t="s">
        <v>182</v>
      </c>
      <c r="G78" s="166">
        <f>IF(A78,IF(D78,MIN('SE4X Production'!$E$32,1),G78),0)</f>
        <v>0</v>
      </c>
      <c r="H78" s="166">
        <f>IF(A78,IF(D78,MIN('SE4X Production'!$E$33,1),H78),0)</f>
        <v>0</v>
      </c>
      <c r="I78" s="166">
        <f>IF(A78,IF(D78,MIN('SE4X Production'!$E$34,3),I78),0)</f>
        <v>0</v>
      </c>
      <c r="J78" s="166">
        <f>IF(A78,IF(D78,MIN('SE4X Production'!$E$35,7),J78),1)</f>
        <v>1</v>
      </c>
      <c r="K78" s="166" t="str">
        <f t="shared" ref="K78:K82" si="7">IF(A78,IF(D78,IF(J78&gt;=6,"+",""),K78),"")</f>
        <v/>
      </c>
      <c r="L78" s="172" t="s">
        <v>41</v>
      </c>
      <c r="M78" s="166">
        <f>IF(A78,IF(D78,MIN('SE4X Production'!$E$44,3),M78),0)</f>
        <v>0</v>
      </c>
      <c r="N78" s="173"/>
      <c r="O78" s="174"/>
      <c r="P78" s="175"/>
      <c r="Q78" s="168"/>
    </row>
    <row r="79" spans="1:18" ht="13.5" customHeight="1" x14ac:dyDescent="0.3">
      <c r="A79" s="47" t="b">
        <v>0</v>
      </c>
      <c r="D79" s="47" t="b">
        <v>0</v>
      </c>
      <c r="E79" s="47"/>
      <c r="F79" s="171" t="s">
        <v>183</v>
      </c>
      <c r="G79" s="166">
        <f>IF(A79,IF(D79,MIN('SE4X Production'!$E$32,1),G79),0)</f>
        <v>0</v>
      </c>
      <c r="H79" s="166">
        <f>IF(A79,IF(D79,MIN('SE4X Production'!$E$33,1),H79),0)</f>
        <v>0</v>
      </c>
      <c r="I79" s="166">
        <f>IF(A79,IF(D79,MIN('SE4X Production'!$E$34,3),I79),0)</f>
        <v>0</v>
      </c>
      <c r="J79" s="166">
        <f>IF(A79,IF(D79,MIN('SE4X Production'!$E$35,7),J79),1)</f>
        <v>1</v>
      </c>
      <c r="K79" s="166" t="str">
        <f t="shared" si="7"/>
        <v/>
      </c>
      <c r="L79" s="172" t="s">
        <v>41</v>
      </c>
      <c r="M79" s="166">
        <f>IF(A79,IF(D79,MIN('SE4X Production'!$E$44,3),M79),0)</f>
        <v>0</v>
      </c>
      <c r="N79" s="173"/>
      <c r="O79" s="174"/>
      <c r="P79" s="175"/>
      <c r="Q79" s="168"/>
    </row>
    <row r="80" spans="1:18" ht="13.5" customHeight="1" x14ac:dyDescent="0.3">
      <c r="A80" s="47" t="b">
        <v>0</v>
      </c>
      <c r="D80" s="47" t="b">
        <v>0</v>
      </c>
      <c r="E80" s="47"/>
      <c r="F80" s="171" t="s">
        <v>184</v>
      </c>
      <c r="G80" s="166">
        <f>IF(A80,IF(D80,MIN('SE4X Production'!$E$32,1),G80),0)</f>
        <v>0</v>
      </c>
      <c r="H80" s="166">
        <f>IF(A80,IF(D80,MIN('SE4X Production'!$E$33,1),H80),0)</f>
        <v>0</v>
      </c>
      <c r="I80" s="166">
        <f>IF(A80,IF(D80,MIN('SE4X Production'!$E$34,3),I80),0)</f>
        <v>0</v>
      </c>
      <c r="J80" s="166">
        <f>IF(A80,IF(D80,MIN('SE4X Production'!$E$35,7),J80),1)</f>
        <v>1</v>
      </c>
      <c r="K80" s="166" t="str">
        <f t="shared" si="7"/>
        <v/>
      </c>
      <c r="L80" s="172" t="s">
        <v>41</v>
      </c>
      <c r="M80" s="166">
        <f>IF(A80,IF(D80,MIN('SE4X Production'!$E$44,3),M80),0)</f>
        <v>0</v>
      </c>
      <c r="N80" s="173"/>
      <c r="O80" s="174"/>
      <c r="P80" s="175"/>
      <c r="Q80" s="168"/>
    </row>
    <row r="81" spans="1:18" ht="13.5" customHeight="1" x14ac:dyDescent="0.3">
      <c r="A81" s="47" t="b">
        <v>0</v>
      </c>
      <c r="D81" s="47" t="b">
        <v>0</v>
      </c>
      <c r="E81" s="47"/>
      <c r="F81" s="171" t="s">
        <v>185</v>
      </c>
      <c r="G81" s="166">
        <f>IF(A81,IF(D81,MIN('SE4X Production'!$E$32,1),G81),0)</f>
        <v>0</v>
      </c>
      <c r="H81" s="166">
        <f>IF(A81,IF(D81,MIN('SE4X Production'!$E$33,1),H81),0)</f>
        <v>0</v>
      </c>
      <c r="I81" s="166">
        <f>IF(A81,IF(D81,MIN('SE4X Production'!$E$34,3),I81),0)</f>
        <v>0</v>
      </c>
      <c r="J81" s="166">
        <f>IF(A81,IF(D81,MIN('SE4X Production'!$E$35,7),J81),1)</f>
        <v>1</v>
      </c>
      <c r="K81" s="166" t="str">
        <f t="shared" si="7"/>
        <v/>
      </c>
      <c r="L81" s="172" t="s">
        <v>41</v>
      </c>
      <c r="M81" s="166">
        <f>IF(A81,IF(D81,MIN('SE4X Production'!$E$44,3),M81),0)</f>
        <v>0</v>
      </c>
      <c r="N81" s="173"/>
      <c r="O81" s="174"/>
      <c r="P81" s="175"/>
      <c r="Q81" s="168"/>
    </row>
    <row r="82" spans="1:18" ht="13.5" customHeight="1" x14ac:dyDescent="0.3">
      <c r="A82" s="47" t="b">
        <v>0</v>
      </c>
      <c r="D82" s="47" t="b">
        <v>0</v>
      </c>
      <c r="E82" s="47"/>
      <c r="F82" s="171" t="s">
        <v>186</v>
      </c>
      <c r="G82" s="166">
        <f>IF(A82,IF(D82,MIN('SE4X Production'!$E$32,1),G82),0)</f>
        <v>0</v>
      </c>
      <c r="H82" s="166">
        <f>IF(A82,IF(D82,MIN('SE4X Production'!$E$33,1),H82),0)</f>
        <v>0</v>
      </c>
      <c r="I82" s="166">
        <f>IF(A82,IF(D82,MIN('SE4X Production'!$E$34,3),I82),0)</f>
        <v>0</v>
      </c>
      <c r="J82" s="166">
        <f>IF(A82,IF(D82,MIN('SE4X Production'!$E$35,7),J82),1)</f>
        <v>1</v>
      </c>
      <c r="K82" s="166" t="str">
        <f t="shared" si="7"/>
        <v/>
      </c>
      <c r="L82" s="172" t="s">
        <v>41</v>
      </c>
      <c r="M82" s="166">
        <f>IF(A82,IF(D82,MIN('SE4X Production'!$E$44,3),M82),0)</f>
        <v>0</v>
      </c>
      <c r="N82" s="173"/>
      <c r="O82" s="174"/>
      <c r="P82" s="175"/>
      <c r="Q82" s="168"/>
    </row>
    <row r="83" spans="1:18" ht="13.5" customHeight="1" x14ac:dyDescent="0.3">
      <c r="A83" s="47" t="b">
        <v>0</v>
      </c>
      <c r="D83" s="47" t="b">
        <v>0</v>
      </c>
      <c r="E83" s="47"/>
      <c r="F83" s="41" t="str">
        <f>IF(NOT('SE4X Production'!$T$31)," BD #1"," MB #1")</f>
        <v xml:space="preserve"> BD #1</v>
      </c>
      <c r="G83" s="50">
        <f>IF(A83,IF(D83,MIN('SE4X Production'!$E$32,3),G83),0)</f>
        <v>0</v>
      </c>
      <c r="H83" s="50">
        <f>IF(A83,IF(D83,MIN('SE4X Production'!$E$33,2),H83),0)</f>
        <v>0</v>
      </c>
      <c r="I83" s="50">
        <f>IF(A83,IF(D83,MIN('SE4X Production'!$E$34,3),I83),0)</f>
        <v>0</v>
      </c>
      <c r="J83" s="42">
        <f>IF(A83,IF(D83,MIN('SE4X Production'!$E$35,7),J83),1)</f>
        <v>1</v>
      </c>
      <c r="K83" s="50" t="str">
        <f>IF(A83,IF(D83,IF(J83&gt;=4,"+",""),K83),"")</f>
        <v/>
      </c>
      <c r="L83" s="43" t="str">
        <f>IF(NOT('SE4X Production'!$T$31)," Boarding"," Missle Boat")</f>
        <v xml:space="preserve"> Boarding</v>
      </c>
      <c r="M83" s="50">
        <f>IF(A83,IF(D83,IF(NOT('SE4X Production'!$T$31),'SE4X Production'!$E$50,'SE4X Production'!$E$52),M83),0)</f>
        <v>0</v>
      </c>
      <c r="N83" s="170"/>
      <c r="O83" s="46"/>
      <c r="P83" s="169"/>
      <c r="Q83" s="168"/>
      <c r="R83" s="47" t="b">
        <v>0</v>
      </c>
    </row>
    <row r="84" spans="1:18" ht="13.5" customHeight="1" x14ac:dyDescent="0.3">
      <c r="A84" s="47" t="b">
        <v>0</v>
      </c>
      <c r="D84" s="47" t="b">
        <v>0</v>
      </c>
      <c r="E84" s="47"/>
      <c r="F84" s="41" t="str">
        <f>IF(NOT('SE4X Production'!$T$31)," BD #2"," MB #2")</f>
        <v xml:space="preserve"> BD #2</v>
      </c>
      <c r="G84" s="50">
        <f>IF(A84,IF(D84,MIN('SE4X Production'!$E$32,3),G84),0)</f>
        <v>0</v>
      </c>
      <c r="H84" s="50">
        <f>IF(A84,IF(D84,MIN('SE4X Production'!$E$33,2),H84),0)</f>
        <v>0</v>
      </c>
      <c r="I84" s="50">
        <f>IF(A84,IF(D84,MIN('SE4X Production'!$E$34,3),I84),0)</f>
        <v>0</v>
      </c>
      <c r="J84" s="42">
        <f>IF(A84,IF(D84,MIN('SE4X Production'!$E$35,7),J84),1)</f>
        <v>1</v>
      </c>
      <c r="K84" s="50" t="str">
        <f t="shared" ref="K84:K88" si="8">IF(A84,IF(D84,IF(J84&gt;=4,"+",""),K84),"")</f>
        <v/>
      </c>
      <c r="L84" s="43" t="str">
        <f>IF(NOT('SE4X Production'!$T$31)," Boarding"," Missle Boat")</f>
        <v xml:space="preserve"> Boarding</v>
      </c>
      <c r="M84" s="50">
        <f>IF(A84,IF(D84,IF(NOT('SE4X Production'!$T$31),'SE4X Production'!$E$50,'SE4X Production'!$E$52),M84),0)</f>
        <v>0</v>
      </c>
      <c r="N84" s="170"/>
      <c r="O84" s="46"/>
      <c r="P84" s="169"/>
      <c r="Q84" s="168"/>
      <c r="R84" s="47" t="b">
        <v>0</v>
      </c>
    </row>
    <row r="85" spans="1:18" ht="13.5" customHeight="1" x14ac:dyDescent="0.3">
      <c r="A85" s="47" t="b">
        <v>0</v>
      </c>
      <c r="D85" s="47" t="b">
        <v>0</v>
      </c>
      <c r="E85" s="47"/>
      <c r="F85" s="41" t="str">
        <f>IF(NOT('SE4X Production'!$T$31)," BD #3"," MB #3")</f>
        <v xml:space="preserve"> BD #3</v>
      </c>
      <c r="G85" s="50">
        <f>IF(A85,IF(D85,MIN('SE4X Production'!$E$32,3),G85),0)</f>
        <v>0</v>
      </c>
      <c r="H85" s="50">
        <f>IF(A85,IF(D85,MIN('SE4X Production'!$E$33,2),H85),0)</f>
        <v>0</v>
      </c>
      <c r="I85" s="50">
        <f>IF(A85,IF(D85,MIN('SE4X Production'!$E$34,3),I85),0)</f>
        <v>0</v>
      </c>
      <c r="J85" s="42">
        <f>IF(A85,IF(D85,MIN('SE4X Production'!$E$35,7),J85),1)</f>
        <v>1</v>
      </c>
      <c r="K85" s="50" t="str">
        <f t="shared" si="8"/>
        <v/>
      </c>
      <c r="L85" s="43" t="str">
        <f>IF(NOT('SE4X Production'!$T$31)," Boarding"," Missle Boat")</f>
        <v xml:space="preserve"> Boarding</v>
      </c>
      <c r="M85" s="50">
        <f>IF(A85,IF(D85,IF(NOT('SE4X Production'!$T$31),'SE4X Production'!$E$50,'SE4X Production'!$E$52),M85),0)</f>
        <v>0</v>
      </c>
      <c r="N85" s="170"/>
      <c r="O85" s="46"/>
      <c r="P85" s="169"/>
      <c r="Q85" s="168"/>
    </row>
    <row r="86" spans="1:18" ht="13.5" customHeight="1" x14ac:dyDescent="0.3">
      <c r="A86" s="47" t="b">
        <v>0</v>
      </c>
      <c r="D86" s="47" t="b">
        <v>0</v>
      </c>
      <c r="E86" s="47"/>
      <c r="F86" s="41" t="str">
        <f>IF(NOT('SE4X Production'!$T$31)," BD #4"," MB #4")</f>
        <v xml:space="preserve"> BD #4</v>
      </c>
      <c r="G86" s="50">
        <f>IF(A86,IF(D86,MIN('SE4X Production'!$E$32,3),G86),0)</f>
        <v>0</v>
      </c>
      <c r="H86" s="50">
        <f>IF(A86,IF(D86,MIN('SE4X Production'!$E$33,2),H86),0)</f>
        <v>0</v>
      </c>
      <c r="I86" s="50">
        <f>IF(A86,IF(D86,MIN('SE4X Production'!$E$34,3),I86),0)</f>
        <v>0</v>
      </c>
      <c r="J86" s="42">
        <f>IF(A86,IF(D86,MIN('SE4X Production'!$E$35,7),J86),1)</f>
        <v>1</v>
      </c>
      <c r="K86" s="50" t="str">
        <f t="shared" si="8"/>
        <v/>
      </c>
      <c r="L86" s="43" t="str">
        <f>IF(NOT('SE4X Production'!$T$31)," Boarding"," Missle Boat")</f>
        <v xml:space="preserve"> Boarding</v>
      </c>
      <c r="M86" s="50">
        <f>IF(A86,IF(D86,IF(NOT('SE4X Production'!$T$31),'SE4X Production'!$E$50,'SE4X Production'!$E$52),M86),0)</f>
        <v>0</v>
      </c>
      <c r="N86" s="170"/>
      <c r="O86" s="46"/>
      <c r="P86" s="169"/>
      <c r="Q86" s="168"/>
    </row>
    <row r="87" spans="1:18" ht="13.5" customHeight="1" x14ac:dyDescent="0.3">
      <c r="A87" s="47" t="b">
        <v>0</v>
      </c>
      <c r="D87" s="47" t="b">
        <v>0</v>
      </c>
      <c r="E87" s="47"/>
      <c r="F87" s="41" t="str">
        <f>IF(NOT('SE4X Production'!$T$31)," BD #5"," MB #5")</f>
        <v xml:space="preserve"> BD #5</v>
      </c>
      <c r="G87" s="50">
        <f>IF(A87,IF(D87,MIN('SE4X Production'!$E$32,3),G87),0)</f>
        <v>0</v>
      </c>
      <c r="H87" s="50">
        <f>IF(A87,IF(D87,MIN('SE4X Production'!$E$33,2),H87),0)</f>
        <v>0</v>
      </c>
      <c r="I87" s="50">
        <f>IF(A87,IF(D87,MIN('SE4X Production'!$E$34,3),I87),0)</f>
        <v>0</v>
      </c>
      <c r="J87" s="42">
        <f>IF(A87,IF(D87,MIN('SE4X Production'!$E$35,7),J87),1)</f>
        <v>1</v>
      </c>
      <c r="K87" s="50" t="str">
        <f t="shared" si="8"/>
        <v/>
      </c>
      <c r="L87" s="43" t="str">
        <f>IF(NOT('SE4X Production'!$T$31)," Boarding"," Missle Boat")</f>
        <v xml:space="preserve"> Boarding</v>
      </c>
      <c r="M87" s="50">
        <f>IF(A87,IF(D87,IF(NOT('SE4X Production'!$T$31),'SE4X Production'!$E$50,'SE4X Production'!$E$52),M87),0)</f>
        <v>0</v>
      </c>
      <c r="N87" s="170"/>
      <c r="O87" s="46"/>
      <c r="P87" s="169"/>
      <c r="Q87" s="168"/>
    </row>
    <row r="88" spans="1:18" ht="13.5" customHeight="1" x14ac:dyDescent="0.3">
      <c r="A88" s="47" t="b">
        <v>0</v>
      </c>
      <c r="D88" s="47" t="b">
        <v>0</v>
      </c>
      <c r="E88" s="47"/>
      <c r="F88" s="41" t="str">
        <f>IF(NOT('SE4X Production'!$T$31)," BD #6"," MB #6")</f>
        <v xml:space="preserve"> BD #6</v>
      </c>
      <c r="G88" s="50">
        <f>IF(A88,IF(D88,MIN('SE4X Production'!$E$32,3),G88),0)</f>
        <v>0</v>
      </c>
      <c r="H88" s="50">
        <f>IF(A88,IF(D88,MIN('SE4X Production'!$E$33,2),H88),0)</f>
        <v>0</v>
      </c>
      <c r="I88" s="50">
        <f>IF(A88,IF(D88,MIN('SE4X Production'!$E$34,3),I88),0)</f>
        <v>0</v>
      </c>
      <c r="J88" s="42">
        <f>IF(A88,IF(D88,MIN('SE4X Production'!$E$35,7),J88),1)</f>
        <v>1</v>
      </c>
      <c r="K88" s="50" t="str">
        <f t="shared" si="8"/>
        <v/>
      </c>
      <c r="L88" s="43" t="str">
        <f>IF(NOT('SE4X Production'!$T$31)," Boarding"," Missle Boat")</f>
        <v xml:space="preserve"> Boarding</v>
      </c>
      <c r="M88" s="50">
        <f>IF(A88,IF(D88,IF(NOT('SE4X Production'!$T$31),'SE4X Production'!$E$50,'SE4X Production'!$E$52),M88),0)</f>
        <v>0</v>
      </c>
      <c r="N88" s="170"/>
      <c r="O88" s="46"/>
      <c r="P88" s="169"/>
      <c r="Q88" s="168"/>
    </row>
    <row r="89" spans="1:18" ht="13.5" customHeight="1" x14ac:dyDescent="0.3">
      <c r="A89" s="47" t="b">
        <v>0</v>
      </c>
      <c r="D89" s="47" t="b">
        <v>0</v>
      </c>
      <c r="E89" s="47"/>
      <c r="F89" s="190" t="s">
        <v>219</v>
      </c>
      <c r="G89" s="191">
        <v>0</v>
      </c>
      <c r="H89" s="191">
        <v>0</v>
      </c>
      <c r="I89" s="191">
        <v>0</v>
      </c>
      <c r="J89" s="191">
        <f>'SE4X Production'!$E$35</f>
        <v>1</v>
      </c>
      <c r="K89" s="192"/>
      <c r="L89" s="193"/>
      <c r="M89" s="191"/>
      <c r="N89" s="194"/>
      <c r="O89" s="191"/>
      <c r="P89" s="195"/>
      <c r="Q89" s="75"/>
      <c r="R89" s="47" t="b">
        <v>0</v>
      </c>
    </row>
    <row r="90" spans="1:18" ht="13.5" customHeight="1" x14ac:dyDescent="0.3">
      <c r="A90" s="47" t="b">
        <v>0</v>
      </c>
      <c r="D90" s="47" t="b">
        <v>0</v>
      </c>
      <c r="E90" s="54"/>
      <c r="F90" s="171" t="s">
        <v>207</v>
      </c>
      <c r="G90" s="166">
        <f>IF(A90,IF(D90,MIN('SE4X Production'!$E$32,1),G90),0)</f>
        <v>0</v>
      </c>
      <c r="H90" s="166">
        <f>IF(A90,IF(D90,MIN('SE4X Production'!$E$33,IF('SE4X Production'!$E$46&gt;=3,2,1)),H90),0)</f>
        <v>0</v>
      </c>
      <c r="I90" s="166">
        <f>IF(A90,IF(D90,MIN('SE4X Production'!$E$34,3),I90),0)</f>
        <v>0</v>
      </c>
      <c r="J90" s="166">
        <f>IF(A90,IF(D90,MIN('SE4X Production'!$E$35,7),J90),1)</f>
        <v>1</v>
      </c>
      <c r="K90" s="187" t="str">
        <f>IF(A90,IF(D90,IF(J90&gt;=5,"+",""),K90),"")</f>
        <v/>
      </c>
      <c r="L90" s="172" t="s">
        <v>214</v>
      </c>
      <c r="M90" s="166">
        <f>IF(A90,IF(D90,IF('SE4X Production'!$E$46&gt;=3,3,0),M90),0)</f>
        <v>0</v>
      </c>
      <c r="N90" s="188" t="s">
        <v>108</v>
      </c>
      <c r="O90" s="166">
        <f>IF(A90,IF(D90,'SE4X Production'!$E$48,M90),0)</f>
        <v>0</v>
      </c>
      <c r="P90" s="189"/>
      <c r="Q90" s="168"/>
      <c r="R90" s="47" t="b">
        <v>0</v>
      </c>
    </row>
    <row r="91" spans="1:18" ht="13.5" customHeight="1" x14ac:dyDescent="0.3">
      <c r="A91" s="47" t="b">
        <v>0</v>
      </c>
      <c r="D91" s="47" t="b">
        <v>0</v>
      </c>
      <c r="E91" s="54"/>
      <c r="F91" s="171" t="s">
        <v>208</v>
      </c>
      <c r="G91" s="166">
        <f>IF(A91,IF(D91,MIN('SE4X Production'!$E$32,1),G91),0)</f>
        <v>0</v>
      </c>
      <c r="H91" s="166">
        <f>IF(A91,IF(D91,MIN('SE4X Production'!$E$33,IF('SE4X Production'!$E$46&gt;=3,2,1)),H91),0)</f>
        <v>0</v>
      </c>
      <c r="I91" s="166">
        <f>IF(A91,IF(D91,MIN('SE4X Production'!$E$34,3),I91),0)</f>
        <v>0</v>
      </c>
      <c r="J91" s="166">
        <f>IF(A91,IF(D91,MIN('SE4X Production'!$E$35,7),J91),1)</f>
        <v>1</v>
      </c>
      <c r="K91" s="187" t="str">
        <f t="shared" ref="K91:K95" si="9">IF(A91,IF(D91,IF(J91&gt;=5,"+",""),K91),"")</f>
        <v/>
      </c>
      <c r="L91" s="172" t="s">
        <v>214</v>
      </c>
      <c r="M91" s="166">
        <f>IF(A91,IF(D91,IF('SE4X Production'!$E$46&gt;=3,3,0),M91),0)</f>
        <v>0</v>
      </c>
      <c r="N91" s="188" t="s">
        <v>108</v>
      </c>
      <c r="O91" s="166">
        <f>IF(A91,IF(D91,'SE4X Production'!$E$48,M91),0)</f>
        <v>0</v>
      </c>
      <c r="P91" s="189"/>
      <c r="Q91" s="168"/>
      <c r="R91" s="47" t="b">
        <v>0</v>
      </c>
    </row>
    <row r="92" spans="1:18" ht="13.5" customHeight="1" x14ac:dyDescent="0.3">
      <c r="A92" s="47" t="b">
        <v>0</v>
      </c>
      <c r="D92" s="47" t="b">
        <v>0</v>
      </c>
      <c r="E92" s="54"/>
      <c r="F92" s="171" t="s">
        <v>209</v>
      </c>
      <c r="G92" s="166">
        <f>IF(A92,IF(D92,MIN('SE4X Production'!$E$32,1),G92),0)</f>
        <v>0</v>
      </c>
      <c r="H92" s="166">
        <f>IF(A92,IF(D92,MIN('SE4X Production'!$E$33,IF('SE4X Production'!$E$46&gt;=3,2,1)),H92),0)</f>
        <v>0</v>
      </c>
      <c r="I92" s="166">
        <f>IF(A92,IF(D92,MIN('SE4X Production'!$E$34,3),I92),0)</f>
        <v>0</v>
      </c>
      <c r="J92" s="166">
        <f>IF(A92,IF(D92,MIN('SE4X Production'!$E$35,7),J92),1)</f>
        <v>1</v>
      </c>
      <c r="K92" s="187" t="str">
        <f t="shared" si="9"/>
        <v/>
      </c>
      <c r="L92" s="172" t="s">
        <v>214</v>
      </c>
      <c r="M92" s="166">
        <f>IF(A92,IF(D92,IF('SE4X Production'!$E$46&gt;=3,3,0),M92),0)</f>
        <v>0</v>
      </c>
      <c r="N92" s="188" t="s">
        <v>108</v>
      </c>
      <c r="O92" s="166">
        <f>IF(A92,IF(D92,'SE4X Production'!$E$48,M92),0)</f>
        <v>0</v>
      </c>
      <c r="P92" s="189"/>
      <c r="Q92" s="168"/>
      <c r="R92" s="47" t="b">
        <v>0</v>
      </c>
    </row>
    <row r="93" spans="1:18" ht="13.5" customHeight="1" x14ac:dyDescent="0.3">
      <c r="A93" s="47" t="b">
        <v>0</v>
      </c>
      <c r="D93" s="47" t="b">
        <v>0</v>
      </c>
      <c r="E93" s="54"/>
      <c r="F93" s="171" t="s">
        <v>210</v>
      </c>
      <c r="G93" s="166">
        <f>IF(A93,IF(D93,MIN('SE4X Production'!$E$32,1),G93),0)</f>
        <v>0</v>
      </c>
      <c r="H93" s="166">
        <f>IF(A93,IF(D93,MIN('SE4X Production'!$E$33,IF('SE4X Production'!$E$46&gt;=3,2,1)),H93),0)</f>
        <v>0</v>
      </c>
      <c r="I93" s="166">
        <f>IF(A93,IF(D93,MIN('SE4X Production'!$E$34,3),I93),0)</f>
        <v>0</v>
      </c>
      <c r="J93" s="166">
        <f>IF(A93,IF(D93,MIN('SE4X Production'!$E$35,7),J93),1)</f>
        <v>1</v>
      </c>
      <c r="K93" s="187" t="str">
        <f t="shared" si="9"/>
        <v/>
      </c>
      <c r="L93" s="172" t="s">
        <v>214</v>
      </c>
      <c r="M93" s="166">
        <f>IF(A93,IF(D93,IF('SE4X Production'!$E$46&gt;=3,3,0),M93),0)</f>
        <v>0</v>
      </c>
      <c r="N93" s="188" t="s">
        <v>108</v>
      </c>
      <c r="O93" s="166">
        <f>IF(A93,IF(D93,'SE4X Production'!$E$48,M93),0)</f>
        <v>0</v>
      </c>
      <c r="P93" s="189"/>
      <c r="Q93" s="168"/>
      <c r="R93" s="47" t="b">
        <v>0</v>
      </c>
    </row>
    <row r="94" spans="1:18" ht="13.5" customHeight="1" x14ac:dyDescent="0.3">
      <c r="A94" s="47" t="b">
        <v>0</v>
      </c>
      <c r="D94" s="47" t="b">
        <v>0</v>
      </c>
      <c r="E94" s="54"/>
      <c r="F94" s="171" t="s">
        <v>211</v>
      </c>
      <c r="G94" s="166">
        <f>IF(A94,IF(D94,MIN('SE4X Production'!$E$32,1),G94),0)</f>
        <v>0</v>
      </c>
      <c r="H94" s="166">
        <f>IF(A94,IF(D94,MIN('SE4X Production'!$E$33,IF('SE4X Production'!$E$46&gt;=3,2,1)),H94),0)</f>
        <v>0</v>
      </c>
      <c r="I94" s="166">
        <f>IF(A94,IF(D94,MIN('SE4X Production'!$E$34,3),I94),0)</f>
        <v>0</v>
      </c>
      <c r="J94" s="166">
        <f>IF(A94,IF(D94,MIN('SE4X Production'!$E$35,7),J94),1)</f>
        <v>1</v>
      </c>
      <c r="K94" s="187" t="str">
        <f t="shared" si="9"/>
        <v/>
      </c>
      <c r="L94" s="172" t="s">
        <v>214</v>
      </c>
      <c r="M94" s="166">
        <f>IF(A94,IF(D94,IF('SE4X Production'!$E$46&gt;=3,3,0),M94),0)</f>
        <v>0</v>
      </c>
      <c r="N94" s="188" t="s">
        <v>108</v>
      </c>
      <c r="O94" s="166">
        <f>IF(A94,IF(D94,'SE4X Production'!$E$48,M94),0)</f>
        <v>0</v>
      </c>
      <c r="P94" s="189"/>
      <c r="Q94" s="168"/>
      <c r="R94" s="47" t="b">
        <v>0</v>
      </c>
    </row>
    <row r="95" spans="1:18" ht="13.5" customHeight="1" x14ac:dyDescent="0.3">
      <c r="A95" s="47" t="b">
        <v>0</v>
      </c>
      <c r="D95" s="47" t="b">
        <v>0</v>
      </c>
      <c r="E95" s="54"/>
      <c r="F95" s="171" t="s">
        <v>212</v>
      </c>
      <c r="G95" s="166">
        <f>IF(A95,IF(D95,MIN('SE4X Production'!$E$32,1),G95),0)</f>
        <v>0</v>
      </c>
      <c r="H95" s="166">
        <f>IF(A95,IF(D95,MIN('SE4X Production'!$E$33,IF('SE4X Production'!$E$46&gt;=3,2,1)),H95),0)</f>
        <v>0</v>
      </c>
      <c r="I95" s="166">
        <f>IF(A95,IF(D95,MIN('SE4X Production'!$E$34,3),I95),0)</f>
        <v>0</v>
      </c>
      <c r="J95" s="166">
        <f>IF(A95,IF(D95,MIN('SE4X Production'!$E$35,7),J95),1)</f>
        <v>1</v>
      </c>
      <c r="K95" s="187" t="str">
        <f t="shared" si="9"/>
        <v/>
      </c>
      <c r="L95" s="172" t="s">
        <v>214</v>
      </c>
      <c r="M95" s="166">
        <f>IF(A95,IF(D95,IF('SE4X Production'!$E$46&gt;=3,3,0),M95),0)</f>
        <v>0</v>
      </c>
      <c r="N95" s="188" t="s">
        <v>108</v>
      </c>
      <c r="O95" s="166">
        <f>IF(A95,IF(D95,'SE4X Production'!$E$48,M95),0)</f>
        <v>0</v>
      </c>
      <c r="P95" s="189"/>
      <c r="Q95" s="168"/>
      <c r="R95" s="47" t="b">
        <v>0</v>
      </c>
    </row>
    <row r="96" spans="1:18" ht="13" x14ac:dyDescent="0.3">
      <c r="E96" s="48"/>
      <c r="F96" s="53" t="s">
        <v>213</v>
      </c>
      <c r="G96" s="44">
        <f>IF('SE4X Production'!$E$32&lt;=1,'SE4X Production'!$E$32,0)</f>
        <v>0</v>
      </c>
      <c r="H96" s="44">
        <f>IF('SE4X Production'!$E$33&lt;=1,'SE4X Production'!$E$33,0)</f>
        <v>0</v>
      </c>
      <c r="I96" s="44">
        <f>'SE4X Production'!$E$34</f>
        <v>0</v>
      </c>
      <c r="J96" s="44"/>
      <c r="K96" s="44"/>
      <c r="L96" s="45"/>
      <c r="M96" s="44"/>
      <c r="N96" s="45"/>
      <c r="O96" s="44"/>
      <c r="P96" s="76"/>
      <c r="Q96" s="75"/>
      <c r="R96" s="47" t="b">
        <v>1</v>
      </c>
    </row>
    <row r="97" spans="5:18" ht="13" x14ac:dyDescent="0.3">
      <c r="E97" s="186"/>
      <c r="F97" s="53" t="s">
        <v>215</v>
      </c>
      <c r="G97" s="44">
        <f>IF('SE4X Production'!$E$32&lt;=1,'SE4X Production'!$E$32,0)</f>
        <v>0</v>
      </c>
      <c r="H97" s="44">
        <f>IF('SE4X Production'!$E$33&lt;=1,'SE4X Production'!$E$33,0)</f>
        <v>0</v>
      </c>
      <c r="I97" s="44">
        <f>'SE4X Production'!$E$34</f>
        <v>0</v>
      </c>
      <c r="J97" s="44"/>
      <c r="K97" s="44"/>
      <c r="L97" s="45"/>
      <c r="M97" s="44"/>
      <c r="N97" s="45"/>
      <c r="O97" s="44"/>
      <c r="P97" s="76"/>
      <c r="Q97" s="75"/>
      <c r="R97" s="47" t="b">
        <v>1</v>
      </c>
    </row>
    <row r="98" spans="5:18" ht="13" x14ac:dyDescent="0.3">
      <c r="E98" s="186"/>
      <c r="F98" s="53" t="s">
        <v>216</v>
      </c>
      <c r="G98" s="44">
        <f>IF('SE4X Production'!$E$32&lt;=1,'SE4X Production'!$E$32,0)</f>
        <v>0</v>
      </c>
      <c r="H98" s="44">
        <f>IF('SE4X Production'!$E$33&lt;=1,'SE4X Production'!$E$33,0)</f>
        <v>0</v>
      </c>
      <c r="I98" s="44">
        <f>'SE4X Production'!$E$34</f>
        <v>0</v>
      </c>
      <c r="J98" s="44"/>
      <c r="K98" s="44"/>
      <c r="L98" s="45"/>
      <c r="M98" s="44"/>
      <c r="N98" s="45"/>
      <c r="O98" s="44"/>
      <c r="P98" s="76"/>
      <c r="Q98" s="75"/>
      <c r="R98" s="47" t="b">
        <v>1</v>
      </c>
    </row>
    <row r="99" spans="5:18" ht="13" x14ac:dyDescent="0.3">
      <c r="E99" s="186"/>
      <c r="F99" s="53" t="s">
        <v>217</v>
      </c>
      <c r="G99" s="44">
        <f>IF('SE4X Production'!$E$32&lt;=1,'SE4X Production'!$E$32,0)</f>
        <v>0</v>
      </c>
      <c r="H99" s="44">
        <f>IF('SE4X Production'!$E$33&lt;=1,'SE4X Production'!$E$33,0)</f>
        <v>0</v>
      </c>
      <c r="I99" s="44">
        <f>'SE4X Production'!$E$34</f>
        <v>0</v>
      </c>
      <c r="J99" s="44"/>
      <c r="K99" s="44"/>
      <c r="L99" s="45"/>
      <c r="M99" s="44"/>
      <c r="N99" s="45"/>
      <c r="O99" s="44"/>
      <c r="P99" s="76"/>
      <c r="Q99" s="75"/>
      <c r="R99" s="47" t="b">
        <v>1</v>
      </c>
    </row>
    <row r="100" spans="5:18" ht="13" x14ac:dyDescent="0.3">
      <c r="E100" s="186"/>
      <c r="F100" s="53" t="s">
        <v>218</v>
      </c>
      <c r="G100" s="44">
        <f>IF('SE4X Production'!$E$32&lt;=1,'SE4X Production'!$E$32,0)</f>
        <v>0</v>
      </c>
      <c r="H100" s="44">
        <f>IF('SE4X Production'!$E$33&lt;=1,'SE4X Production'!$E$33,0)</f>
        <v>0</v>
      </c>
      <c r="I100" s="44">
        <f>'SE4X Production'!$E$34</f>
        <v>0</v>
      </c>
      <c r="J100" s="44"/>
      <c r="K100" s="44"/>
      <c r="L100" s="45"/>
      <c r="M100" s="44"/>
      <c r="N100" s="45"/>
      <c r="O100" s="44"/>
      <c r="P100" s="76"/>
      <c r="Q100" s="75"/>
      <c r="R100" s="47" t="b">
        <v>1</v>
      </c>
    </row>
  </sheetData>
  <mergeCells count="5">
    <mergeCell ref="L2:O2"/>
    <mergeCell ref="F1:Q1"/>
    <mergeCell ref="P27:P32"/>
    <mergeCell ref="P33:P38"/>
    <mergeCell ref="P39:P43"/>
  </mergeCells>
  <phoneticPr fontId="22" type="noConversion"/>
  <conditionalFormatting sqref="F7">
    <cfRule type="expression" dxfId="106" priority="106">
      <formula>$A$7</formula>
    </cfRule>
  </conditionalFormatting>
  <conditionalFormatting sqref="F8">
    <cfRule type="expression" dxfId="105" priority="180">
      <formula>$A$8</formula>
    </cfRule>
  </conditionalFormatting>
  <conditionalFormatting sqref="F9">
    <cfRule type="expression" dxfId="104" priority="179">
      <formula>$A$9</formula>
    </cfRule>
  </conditionalFormatting>
  <conditionalFormatting sqref="F10">
    <cfRule type="expression" dxfId="103" priority="178">
      <formula>$A$10</formula>
    </cfRule>
  </conditionalFormatting>
  <conditionalFormatting sqref="F11">
    <cfRule type="expression" dxfId="102" priority="177">
      <formula>$A$11</formula>
    </cfRule>
  </conditionalFormatting>
  <conditionalFormatting sqref="F12">
    <cfRule type="expression" dxfId="101" priority="176">
      <formula>$A$12</formula>
    </cfRule>
  </conditionalFormatting>
  <conditionalFormatting sqref="F13">
    <cfRule type="expression" dxfId="100" priority="175">
      <formula>$A$13</formula>
    </cfRule>
  </conditionalFormatting>
  <conditionalFormatting sqref="F14">
    <cfRule type="expression" dxfId="99" priority="100">
      <formula>$A$14</formula>
    </cfRule>
  </conditionalFormatting>
  <conditionalFormatting sqref="F15">
    <cfRule type="expression" dxfId="98" priority="174">
      <formula>$A$15</formula>
    </cfRule>
  </conditionalFormatting>
  <conditionalFormatting sqref="F16">
    <cfRule type="expression" dxfId="97" priority="173">
      <formula>$A$16</formula>
    </cfRule>
  </conditionalFormatting>
  <conditionalFormatting sqref="F17">
    <cfRule type="expression" dxfId="96" priority="172">
      <formula>$A$17</formula>
    </cfRule>
  </conditionalFormatting>
  <conditionalFormatting sqref="F18">
    <cfRule type="expression" dxfId="95" priority="171">
      <formula>$A$18</formula>
    </cfRule>
  </conditionalFormatting>
  <conditionalFormatting sqref="F19">
    <cfRule type="expression" dxfId="94" priority="170">
      <formula>$A$19</formula>
    </cfRule>
  </conditionalFormatting>
  <conditionalFormatting sqref="F20">
    <cfRule type="expression" dxfId="93" priority="169">
      <formula>$A$20</formula>
    </cfRule>
  </conditionalFormatting>
  <conditionalFormatting sqref="F21">
    <cfRule type="expression" dxfId="92" priority="168">
      <formula>$A$21</formula>
    </cfRule>
  </conditionalFormatting>
  <conditionalFormatting sqref="F22">
    <cfRule type="expression" dxfId="91" priority="167">
      <formula>$A$22</formula>
    </cfRule>
  </conditionalFormatting>
  <conditionalFormatting sqref="F23">
    <cfRule type="expression" dxfId="90" priority="166">
      <formula>$A$23</formula>
    </cfRule>
  </conditionalFormatting>
  <conditionalFormatting sqref="F24">
    <cfRule type="expression" dxfId="89" priority="165">
      <formula>$A$24</formula>
    </cfRule>
  </conditionalFormatting>
  <conditionalFormatting sqref="F25">
    <cfRule type="expression" dxfId="88" priority="164">
      <formula>$A$25</formula>
    </cfRule>
  </conditionalFormatting>
  <conditionalFormatting sqref="F26">
    <cfRule type="expression" dxfId="87" priority="163">
      <formula>$A$26</formula>
    </cfRule>
  </conditionalFormatting>
  <conditionalFormatting sqref="F27">
    <cfRule type="expression" dxfId="86" priority="162">
      <formula>$A$27</formula>
    </cfRule>
  </conditionalFormatting>
  <conditionalFormatting sqref="F28">
    <cfRule type="expression" dxfId="85" priority="160">
      <formula>$A$28</formula>
    </cfRule>
  </conditionalFormatting>
  <conditionalFormatting sqref="F29">
    <cfRule type="expression" dxfId="84" priority="159">
      <formula>$A$29</formula>
    </cfRule>
  </conditionalFormatting>
  <conditionalFormatting sqref="F30">
    <cfRule type="expression" dxfId="83" priority="158">
      <formula>$A$30</formula>
    </cfRule>
  </conditionalFormatting>
  <conditionalFormatting sqref="F31">
    <cfRule type="expression" dxfId="82" priority="157">
      <formula>$A$31</formula>
    </cfRule>
  </conditionalFormatting>
  <conditionalFormatting sqref="F32">
    <cfRule type="expression" dxfId="81" priority="156">
      <formula>$A$32</formula>
    </cfRule>
  </conditionalFormatting>
  <conditionalFormatting sqref="F33">
    <cfRule type="expression" dxfId="80" priority="155">
      <formula>$A$33</formula>
    </cfRule>
  </conditionalFormatting>
  <conditionalFormatting sqref="F34">
    <cfRule type="expression" dxfId="79" priority="154">
      <formula>$A$34</formula>
    </cfRule>
  </conditionalFormatting>
  <conditionalFormatting sqref="F35">
    <cfRule type="expression" dxfId="78" priority="153">
      <formula>$A$35</formula>
    </cfRule>
  </conditionalFormatting>
  <conditionalFormatting sqref="F36">
    <cfRule type="expression" dxfId="77" priority="152">
      <formula>$A$36</formula>
    </cfRule>
  </conditionalFormatting>
  <conditionalFormatting sqref="F37">
    <cfRule type="expression" dxfId="76" priority="151">
      <formula>$A$37</formula>
    </cfRule>
  </conditionalFormatting>
  <conditionalFormatting sqref="F38">
    <cfRule type="expression" dxfId="75" priority="150">
      <formula>$A$38</formula>
    </cfRule>
  </conditionalFormatting>
  <conditionalFormatting sqref="F39">
    <cfRule type="expression" dxfId="74" priority="149">
      <formula>$A$39</formula>
    </cfRule>
  </conditionalFormatting>
  <conditionalFormatting sqref="F40">
    <cfRule type="expression" dxfId="73" priority="148">
      <formula>$A$40</formula>
    </cfRule>
  </conditionalFormatting>
  <conditionalFormatting sqref="F41">
    <cfRule type="expression" dxfId="72" priority="147">
      <formula>$A$41</formula>
    </cfRule>
  </conditionalFormatting>
  <conditionalFormatting sqref="F42">
    <cfRule type="expression" dxfId="71" priority="146">
      <formula>$A$42</formula>
    </cfRule>
  </conditionalFormatting>
  <conditionalFormatting sqref="F43">
    <cfRule type="expression" dxfId="70" priority="145">
      <formula>$A$43</formula>
    </cfRule>
  </conditionalFormatting>
  <conditionalFormatting sqref="F44">
    <cfRule type="expression" dxfId="69" priority="99">
      <formula>$A$44</formula>
    </cfRule>
  </conditionalFormatting>
  <conditionalFormatting sqref="F45">
    <cfRule type="expression" dxfId="68" priority="93">
      <formula>$A$45</formula>
    </cfRule>
  </conditionalFormatting>
  <conditionalFormatting sqref="F46">
    <cfRule type="expression" dxfId="67" priority="92">
      <formula>$A$46</formula>
    </cfRule>
  </conditionalFormatting>
  <conditionalFormatting sqref="F47">
    <cfRule type="expression" dxfId="66" priority="91">
      <formula>$A$47</formula>
    </cfRule>
  </conditionalFormatting>
  <conditionalFormatting sqref="F48">
    <cfRule type="expression" dxfId="65" priority="90">
      <formula>$A$48</formula>
    </cfRule>
  </conditionalFormatting>
  <conditionalFormatting sqref="F49">
    <cfRule type="expression" dxfId="64" priority="89">
      <formula>$A$49</formula>
    </cfRule>
  </conditionalFormatting>
  <conditionalFormatting sqref="F50">
    <cfRule type="expression" dxfId="63" priority="82">
      <formula>$A$50</formula>
    </cfRule>
  </conditionalFormatting>
  <conditionalFormatting sqref="F51">
    <cfRule type="expression" dxfId="62" priority="81">
      <formula>$A$51</formula>
    </cfRule>
  </conditionalFormatting>
  <conditionalFormatting sqref="F52">
    <cfRule type="expression" dxfId="61" priority="80">
      <formula>$A$52</formula>
    </cfRule>
  </conditionalFormatting>
  <conditionalFormatting sqref="F53">
    <cfRule type="expression" dxfId="60" priority="79">
      <formula>$A$53</formula>
    </cfRule>
  </conditionalFormatting>
  <conditionalFormatting sqref="F54">
    <cfRule type="expression" dxfId="59" priority="78">
      <formula>$A$54</formula>
    </cfRule>
  </conditionalFormatting>
  <conditionalFormatting sqref="F55">
    <cfRule type="expression" dxfId="57" priority="77">
      <formula>$A$55</formula>
    </cfRule>
  </conditionalFormatting>
  <conditionalFormatting sqref="F56">
    <cfRule type="expression" dxfId="56" priority="71">
      <formula>$A$56</formula>
    </cfRule>
  </conditionalFormatting>
  <conditionalFormatting sqref="F57">
    <cfRule type="expression" dxfId="55" priority="70">
      <formula>$A$57</formula>
    </cfRule>
  </conditionalFormatting>
  <conditionalFormatting sqref="F58">
    <cfRule type="expression" dxfId="54" priority="69">
      <formula>$A$58</formula>
    </cfRule>
  </conditionalFormatting>
  <conditionalFormatting sqref="F59">
    <cfRule type="expression" dxfId="53" priority="68">
      <formula>$A$59</formula>
    </cfRule>
  </conditionalFormatting>
  <conditionalFormatting sqref="F60">
    <cfRule type="expression" dxfId="52" priority="67">
      <formula>$A$60</formula>
    </cfRule>
  </conditionalFormatting>
  <conditionalFormatting sqref="F61">
    <cfRule type="expression" dxfId="51" priority="66">
      <formula>$A$61</formula>
    </cfRule>
  </conditionalFormatting>
  <conditionalFormatting sqref="F62">
    <cfRule type="expression" dxfId="50" priority="65">
      <formula>$A$62</formula>
    </cfRule>
  </conditionalFormatting>
  <conditionalFormatting sqref="F63">
    <cfRule type="expression" dxfId="49" priority="64">
      <formula>$A$63</formula>
    </cfRule>
  </conditionalFormatting>
  <conditionalFormatting sqref="F64">
    <cfRule type="expression" dxfId="48" priority="63">
      <formula>$A$64</formula>
    </cfRule>
  </conditionalFormatting>
  <conditionalFormatting sqref="F65">
    <cfRule type="expression" dxfId="46" priority="62">
      <formula>$A$65</formula>
    </cfRule>
  </conditionalFormatting>
  <conditionalFormatting sqref="F66">
    <cfRule type="expression" dxfId="45" priority="55">
      <formula>$A$66</formula>
    </cfRule>
  </conditionalFormatting>
  <conditionalFormatting sqref="F67">
    <cfRule type="expression" dxfId="44" priority="54">
      <formula>$A$67</formula>
    </cfRule>
  </conditionalFormatting>
  <conditionalFormatting sqref="F68">
    <cfRule type="expression" dxfId="43" priority="53">
      <formula>$A$68</formula>
    </cfRule>
  </conditionalFormatting>
  <conditionalFormatting sqref="F69">
    <cfRule type="expression" dxfId="42" priority="52">
      <formula>$A$69</formula>
    </cfRule>
  </conditionalFormatting>
  <conditionalFormatting sqref="F70">
    <cfRule type="expression" dxfId="41" priority="51">
      <formula>$A$70</formula>
    </cfRule>
  </conditionalFormatting>
  <conditionalFormatting sqref="F71">
    <cfRule type="expression" dxfId="38" priority="49">
      <formula>$A$71</formula>
    </cfRule>
  </conditionalFormatting>
  <conditionalFormatting sqref="F72">
    <cfRule type="expression" dxfId="37" priority="48">
      <formula>$A$72</formula>
    </cfRule>
  </conditionalFormatting>
  <conditionalFormatting sqref="F73">
    <cfRule type="expression" dxfId="36" priority="47">
      <formula>$A$73</formula>
    </cfRule>
  </conditionalFormatting>
  <conditionalFormatting sqref="F74">
    <cfRule type="expression" dxfId="35" priority="46">
      <formula>$A$74</formula>
    </cfRule>
  </conditionalFormatting>
  <conditionalFormatting sqref="F75">
    <cfRule type="expression" dxfId="34" priority="45">
      <formula>$A$75</formula>
    </cfRule>
  </conditionalFormatting>
  <conditionalFormatting sqref="F76">
    <cfRule type="expression" dxfId="33" priority="44">
      <formula>$A$76</formula>
    </cfRule>
  </conditionalFormatting>
  <conditionalFormatting sqref="F77">
    <cfRule type="expression" dxfId="31" priority="42">
      <formula>$A$77</formula>
    </cfRule>
  </conditionalFormatting>
  <conditionalFormatting sqref="F78">
    <cfRule type="expression" dxfId="30" priority="40">
      <formula>$A$78</formula>
    </cfRule>
  </conditionalFormatting>
  <conditionalFormatting sqref="F79">
    <cfRule type="expression" dxfId="29" priority="39">
      <formula>$A$79</formula>
    </cfRule>
  </conditionalFormatting>
  <conditionalFormatting sqref="F80">
    <cfRule type="expression" dxfId="28" priority="38">
      <formula>$A$80</formula>
    </cfRule>
  </conditionalFormatting>
  <conditionalFormatting sqref="F81">
    <cfRule type="expression" dxfId="27" priority="37">
      <formula>$A$82</formula>
    </cfRule>
  </conditionalFormatting>
  <conditionalFormatting sqref="F82">
    <cfRule type="expression" dxfId="26" priority="36">
      <formula>$A$60</formula>
    </cfRule>
  </conditionalFormatting>
  <conditionalFormatting sqref="F83">
    <cfRule type="expression" dxfId="24" priority="35">
      <formula>$A$83</formula>
    </cfRule>
  </conditionalFormatting>
  <conditionalFormatting sqref="F84">
    <cfRule type="expression" dxfId="22" priority="27">
      <formula>$A$84</formula>
    </cfRule>
  </conditionalFormatting>
  <conditionalFormatting sqref="F85">
    <cfRule type="expression" dxfId="21" priority="26">
      <formula>$A$85</formula>
    </cfRule>
  </conditionalFormatting>
  <conditionalFormatting sqref="F86">
    <cfRule type="expression" dxfId="20" priority="25">
      <formula>$A$86</formula>
    </cfRule>
  </conditionalFormatting>
  <conditionalFormatting sqref="F87">
    <cfRule type="expression" dxfId="19" priority="24">
      <formula>$A$87</formula>
    </cfRule>
  </conditionalFormatting>
  <conditionalFormatting sqref="F88">
    <cfRule type="expression" dxfId="18" priority="23">
      <formula>$A$88</formula>
    </cfRule>
  </conditionalFormatting>
  <conditionalFormatting sqref="F90">
    <cfRule type="expression" dxfId="13" priority="18">
      <formula>$A$90</formula>
    </cfRule>
  </conditionalFormatting>
  <conditionalFormatting sqref="F91">
    <cfRule type="expression" dxfId="12" priority="16">
      <formula>$A$91</formula>
    </cfRule>
  </conditionalFormatting>
  <conditionalFormatting sqref="F92">
    <cfRule type="expression" dxfId="11" priority="15">
      <formula>$A$92</formula>
    </cfRule>
  </conditionalFormatting>
  <conditionalFormatting sqref="F93">
    <cfRule type="expression" dxfId="10" priority="14">
      <formula>$A$93</formula>
    </cfRule>
  </conditionalFormatting>
  <conditionalFormatting sqref="F94">
    <cfRule type="expression" dxfId="9" priority="13">
      <formula>$A$94</formula>
    </cfRule>
  </conditionalFormatting>
  <conditionalFormatting sqref="F95">
    <cfRule type="expression" dxfId="8" priority="12">
      <formula>$A$95</formula>
    </cfRule>
  </conditionalFormatting>
  <conditionalFormatting sqref="F89">
    <cfRule type="expression" dxfId="3" priority="8">
      <formula>$A$89</formula>
    </cfRule>
  </conditionalFormatting>
  <dataValidations count="4">
    <dataValidation type="list" allowBlank="1" showInputMessage="1" showErrorMessage="1" sqref="P7" xr:uid="{E8DC7359-325C-4E9F-A7A6-935627A82B06}">
      <formula1>$S$7:$S$19</formula1>
    </dataValidation>
    <dataValidation type="list" allowBlank="1" showInputMessage="1" showErrorMessage="1" sqref="Q7:Q88 Q90:Q95" xr:uid="{D51647A1-7F42-4ADB-9C3B-3D5272DB64F4}">
      <formula1>"Green,Skilled,Veteran,Elite,Legendary"</formula1>
    </dataValidation>
    <dataValidation type="list" allowBlank="1" showInputMessage="1" showErrorMessage="1" sqref="P27:P43" xr:uid="{933F5CA5-BA41-49D0-9B4E-9425CFC020C5}">
      <formula1>$S$27:$S$38</formula1>
    </dataValidation>
    <dataValidation type="list" allowBlank="1" showInputMessage="1" showErrorMessage="1" sqref="P10" xr:uid="{141938E1-F376-470D-9D01-C652B2F5EDE7}">
      <formula1>$S$12:$S$13</formula1>
    </dataValidation>
  </dataValidations>
  <printOptions horizontalCentered="1" verticalCentered="1"/>
  <pageMargins left="0.78749999999999998" right="0.78749999999999998" top="0.78749999999999998" bottom="0.78749999999999998" header="0.51180555555555551" footer="0.51180555555555551"/>
  <pageSetup firstPageNumber="0" orientation="landscape" horizontalDpi="300" verticalDpi="300"/>
  <headerFooter alignWithMargins="0"/>
  <ignoredErrors>
    <ignoredError sqref="I7 M15:M26 G21:J43 J7:J13 M8:M14 G8:I13 G14:I14 P15 P17 P16 P18:P20 I15:J15 I16:J20 G15:H20 O15:O20 O21:O26 M27:M32 K33:K38 K39:K43 G44:J48 M44:M48 I50:J54 M49:M54 M33:M38 M39:M43 I49:J49 G49:H54 O50:O54 G55:I64 M55:M64 G65:J70 G71:K76 N15:N20 O49 N49:N54 G77:K82 M77:M82 O71:O76 M71:M76 G84:K88 G83:K83 M83:M88 O7 G91:G95 M90:M95 O90:O95 G90 I90:J90 I91:J95 H90:H95" unlockedFormula="1"/>
    <ignoredError sqref="G5:H5" formula="1"/>
    <ignoredError sqref="J14 J89" formula="1" unlocked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8" r:id="rId3" name="Check Box 54">
              <controlPr defaultSize="0" autoFill="0" autoLine="0" autoPict="0">
                <anchor moveWithCells="1">
                  <from>
                    <xdr:col>1</xdr:col>
                    <xdr:colOff>0</xdr:colOff>
                    <xdr:row>6</xdr:row>
                    <xdr:rowOff>133350</xdr:rowOff>
                  </from>
                  <to>
                    <xdr:col>5</xdr:col>
                    <xdr:colOff>254000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4" name="Check Box 62">
              <controlPr defaultSize="0" autoFill="0" autoLine="0" autoPict="0">
                <anchor moveWithCells="1">
                  <from>
                    <xdr:col>2</xdr:col>
                    <xdr:colOff>0</xdr:colOff>
                    <xdr:row>6</xdr:row>
                    <xdr:rowOff>152400</xdr:rowOff>
                  </from>
                  <to>
                    <xdr:col>5</xdr:col>
                    <xdr:colOff>107950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5" name="Check Box 70">
              <controlPr defaultSize="0" autoFill="0" autoLine="0" autoPict="0">
                <anchor moveWithCells="1">
                  <from>
                    <xdr:col>1</xdr:col>
                    <xdr:colOff>0</xdr:colOff>
                    <xdr:row>7</xdr:row>
                    <xdr:rowOff>133350</xdr:rowOff>
                  </from>
                  <to>
                    <xdr:col>5</xdr:col>
                    <xdr:colOff>260350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" name="Check Box 71">
              <controlPr defaultSize="0" autoFill="0" autoLine="0" autoPict="0">
                <anchor moveWithCells="1">
                  <from>
                    <xdr:col>2</xdr:col>
                    <xdr:colOff>0</xdr:colOff>
                    <xdr:row>7</xdr:row>
                    <xdr:rowOff>133350</xdr:rowOff>
                  </from>
                  <to>
                    <xdr:col>5</xdr:col>
                    <xdr:colOff>95250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" name="Check Box 72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133350</xdr:rowOff>
                  </from>
                  <to>
                    <xdr:col>5</xdr:col>
                    <xdr:colOff>260350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8" name="Check Box 73">
              <controlPr defaultSize="0" autoFill="0" autoLine="0" autoPict="0">
                <anchor moveWithCells="1">
                  <from>
                    <xdr:col>2</xdr:col>
                    <xdr:colOff>0</xdr:colOff>
                    <xdr:row>8</xdr:row>
                    <xdr:rowOff>133350</xdr:rowOff>
                  </from>
                  <to>
                    <xdr:col>5</xdr:col>
                    <xdr:colOff>88900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9" name="Check Box 74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133350</xdr:rowOff>
                  </from>
                  <to>
                    <xdr:col>5</xdr:col>
                    <xdr:colOff>260350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10" name="Check Box 75">
              <controlPr defaultSize="0" autoFill="0" autoLine="0" autoPict="0">
                <anchor moveWithCells="1">
                  <from>
                    <xdr:col>2</xdr:col>
                    <xdr:colOff>0</xdr:colOff>
                    <xdr:row>9</xdr:row>
                    <xdr:rowOff>133350</xdr:rowOff>
                  </from>
                  <to>
                    <xdr:col>5</xdr:col>
                    <xdr:colOff>88900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11" name="Check Box 76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133350</xdr:rowOff>
                  </from>
                  <to>
                    <xdr:col>5</xdr:col>
                    <xdr:colOff>260350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12" name="Check Box 77">
              <controlPr defaultSize="0" autoFill="0" autoLine="0" autoPict="0">
                <anchor moveWithCells="1">
                  <from>
                    <xdr:col>2</xdr:col>
                    <xdr:colOff>0</xdr:colOff>
                    <xdr:row>10</xdr:row>
                    <xdr:rowOff>133350</xdr:rowOff>
                  </from>
                  <to>
                    <xdr:col>5</xdr:col>
                    <xdr:colOff>95250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13" name="Check Box 78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133350</xdr:rowOff>
                  </from>
                  <to>
                    <xdr:col>5</xdr:col>
                    <xdr:colOff>260350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14" name="Check Box 79">
              <controlPr defaultSize="0" autoFill="0" autoLine="0" autoPict="0">
                <anchor moveWithCells="1">
                  <from>
                    <xdr:col>2</xdr:col>
                    <xdr:colOff>0</xdr:colOff>
                    <xdr:row>11</xdr:row>
                    <xdr:rowOff>133350</xdr:rowOff>
                  </from>
                  <to>
                    <xdr:col>5</xdr:col>
                    <xdr:colOff>88900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15" name="Check Box 84">
              <controlPr defaultSize="0" autoFill="0" autoLine="0" autoPict="0">
                <anchor moveWithCells="1">
                  <from>
                    <xdr:col>1</xdr:col>
                    <xdr:colOff>0</xdr:colOff>
                    <xdr:row>12</xdr:row>
                    <xdr:rowOff>139700</xdr:rowOff>
                  </from>
                  <to>
                    <xdr:col>5</xdr:col>
                    <xdr:colOff>260350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16" name="Check Box 85">
              <controlPr defaultSize="0" autoFill="0" autoLine="0" autoPict="0">
                <anchor moveWithCells="1">
                  <from>
                    <xdr:col>2</xdr:col>
                    <xdr:colOff>0</xdr:colOff>
                    <xdr:row>12</xdr:row>
                    <xdr:rowOff>146050</xdr:rowOff>
                  </from>
                  <to>
                    <xdr:col>5</xdr:col>
                    <xdr:colOff>107950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17" name="Check Box 86">
              <controlPr defaultSize="0" autoFill="0" autoLine="0" autoPict="0">
                <anchor moveWithCells="1">
                  <from>
                    <xdr:col>1</xdr:col>
                    <xdr:colOff>0</xdr:colOff>
                    <xdr:row>14</xdr:row>
                    <xdr:rowOff>139700</xdr:rowOff>
                  </from>
                  <to>
                    <xdr:col>5</xdr:col>
                    <xdr:colOff>260350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18" name="Check Box 87">
              <controlPr defaultSize="0" autoFill="0" autoLine="0" autoPict="0">
                <anchor moveWithCells="1">
                  <from>
                    <xdr:col>2</xdr:col>
                    <xdr:colOff>0</xdr:colOff>
                    <xdr:row>14</xdr:row>
                    <xdr:rowOff>139700</xdr:rowOff>
                  </from>
                  <to>
                    <xdr:col>5</xdr:col>
                    <xdr:colOff>95250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19" name="Check Box 88">
              <controlPr defaultSize="0" autoFill="0" autoLine="0" autoPict="0">
                <anchor moveWithCells="1">
                  <from>
                    <xdr:col>1</xdr:col>
                    <xdr:colOff>0</xdr:colOff>
                    <xdr:row>15</xdr:row>
                    <xdr:rowOff>133350</xdr:rowOff>
                  </from>
                  <to>
                    <xdr:col>5</xdr:col>
                    <xdr:colOff>260350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0" name="Check Box 89">
              <controlPr defaultSize="0" autoFill="0" autoLine="0" autoPict="0">
                <anchor moveWithCells="1">
                  <from>
                    <xdr:col>2</xdr:col>
                    <xdr:colOff>0</xdr:colOff>
                    <xdr:row>15</xdr:row>
                    <xdr:rowOff>133350</xdr:rowOff>
                  </from>
                  <to>
                    <xdr:col>5</xdr:col>
                    <xdr:colOff>88900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1" name="Check Box 90">
              <controlPr defaultSize="0" autoFill="0" autoLine="0" autoPict="0">
                <anchor moveWithCells="1">
                  <from>
                    <xdr:col>1</xdr:col>
                    <xdr:colOff>0</xdr:colOff>
                    <xdr:row>16</xdr:row>
                    <xdr:rowOff>133350</xdr:rowOff>
                  </from>
                  <to>
                    <xdr:col>5</xdr:col>
                    <xdr:colOff>260350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2" name="Check Box 91">
              <controlPr defaultSize="0" autoFill="0" autoLine="0" autoPict="0">
                <anchor moveWithCells="1">
                  <from>
                    <xdr:col>2</xdr:col>
                    <xdr:colOff>0</xdr:colOff>
                    <xdr:row>16</xdr:row>
                    <xdr:rowOff>133350</xdr:rowOff>
                  </from>
                  <to>
                    <xdr:col>5</xdr:col>
                    <xdr:colOff>88900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3" name="Check Box 92">
              <controlPr defaultSize="0" autoFill="0" autoLine="0" autoPict="0">
                <anchor moveWithCells="1">
                  <from>
                    <xdr:col>1</xdr:col>
                    <xdr:colOff>0</xdr:colOff>
                    <xdr:row>17</xdr:row>
                    <xdr:rowOff>133350</xdr:rowOff>
                  </from>
                  <to>
                    <xdr:col>5</xdr:col>
                    <xdr:colOff>260350</xdr:colOff>
                    <xdr:row>19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4" name="Check Box 93">
              <controlPr defaultSize="0" autoFill="0" autoLine="0" autoPict="0">
                <anchor moveWithCells="1">
                  <from>
                    <xdr:col>2</xdr:col>
                    <xdr:colOff>0</xdr:colOff>
                    <xdr:row>17</xdr:row>
                    <xdr:rowOff>133350</xdr:rowOff>
                  </from>
                  <to>
                    <xdr:col>5</xdr:col>
                    <xdr:colOff>95250</xdr:colOff>
                    <xdr:row>19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25" name="Check Box 94">
              <controlPr defaultSize="0" autoFill="0" autoLine="0" autoPict="0">
                <anchor moveWithCells="1">
                  <from>
                    <xdr:col>1</xdr:col>
                    <xdr:colOff>0</xdr:colOff>
                    <xdr:row>18</xdr:row>
                    <xdr:rowOff>133350</xdr:rowOff>
                  </from>
                  <to>
                    <xdr:col>5</xdr:col>
                    <xdr:colOff>260350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26" name="Check Box 95">
              <controlPr defaultSize="0" autoFill="0" autoLine="0" autoPict="0">
                <anchor moveWithCells="1">
                  <from>
                    <xdr:col>2</xdr:col>
                    <xdr:colOff>0</xdr:colOff>
                    <xdr:row>18</xdr:row>
                    <xdr:rowOff>133350</xdr:rowOff>
                  </from>
                  <to>
                    <xdr:col>5</xdr:col>
                    <xdr:colOff>88900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27" name="Check Box 96">
              <controlPr defaultSize="0" autoFill="0" autoLine="0" autoPict="0">
                <anchor moveWithCells="1">
                  <from>
                    <xdr:col>1</xdr:col>
                    <xdr:colOff>0</xdr:colOff>
                    <xdr:row>19</xdr:row>
                    <xdr:rowOff>139700</xdr:rowOff>
                  </from>
                  <to>
                    <xdr:col>5</xdr:col>
                    <xdr:colOff>260350</xdr:colOff>
                    <xdr:row>21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28" name="Check Box 97">
              <controlPr defaultSize="0" autoFill="0" autoLine="0" autoPict="0">
                <anchor moveWithCells="1">
                  <from>
                    <xdr:col>2</xdr:col>
                    <xdr:colOff>0</xdr:colOff>
                    <xdr:row>19</xdr:row>
                    <xdr:rowOff>146050</xdr:rowOff>
                  </from>
                  <to>
                    <xdr:col>5</xdr:col>
                    <xdr:colOff>107950</xdr:colOff>
                    <xdr:row>21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29" name="Check Box 98">
              <controlPr defaultSize="0" autoFill="0" autoLine="0" autoPict="0">
                <anchor moveWithCells="1">
                  <from>
                    <xdr:col>1</xdr:col>
                    <xdr:colOff>0</xdr:colOff>
                    <xdr:row>20</xdr:row>
                    <xdr:rowOff>139700</xdr:rowOff>
                  </from>
                  <to>
                    <xdr:col>5</xdr:col>
                    <xdr:colOff>260350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30" name="Check Box 99">
              <controlPr defaultSize="0" autoFill="0" autoLine="0" autoPict="0">
                <anchor moveWithCells="1">
                  <from>
                    <xdr:col>2</xdr:col>
                    <xdr:colOff>0</xdr:colOff>
                    <xdr:row>20</xdr:row>
                    <xdr:rowOff>139700</xdr:rowOff>
                  </from>
                  <to>
                    <xdr:col>5</xdr:col>
                    <xdr:colOff>95250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31" name="Check Box 100">
              <controlPr defaultSize="0" autoFill="0" autoLine="0" autoPict="0">
                <anchor moveWithCells="1">
                  <from>
                    <xdr:col>1</xdr:col>
                    <xdr:colOff>0</xdr:colOff>
                    <xdr:row>21</xdr:row>
                    <xdr:rowOff>133350</xdr:rowOff>
                  </from>
                  <to>
                    <xdr:col>5</xdr:col>
                    <xdr:colOff>260350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32" name="Check Box 101">
              <controlPr defaultSize="0" autoFill="0" autoLine="0" autoPict="0">
                <anchor moveWithCells="1">
                  <from>
                    <xdr:col>2</xdr:col>
                    <xdr:colOff>0</xdr:colOff>
                    <xdr:row>21</xdr:row>
                    <xdr:rowOff>133350</xdr:rowOff>
                  </from>
                  <to>
                    <xdr:col>5</xdr:col>
                    <xdr:colOff>88900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33" name="Check Box 102">
              <controlPr defaultSize="0" autoFill="0" autoLine="0" autoPict="0">
                <anchor moveWithCells="1">
                  <from>
                    <xdr:col>1</xdr:col>
                    <xdr:colOff>0</xdr:colOff>
                    <xdr:row>22</xdr:row>
                    <xdr:rowOff>133350</xdr:rowOff>
                  </from>
                  <to>
                    <xdr:col>5</xdr:col>
                    <xdr:colOff>260350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34" name="Check Box 103">
              <controlPr defaultSize="0" autoFill="0" autoLine="0" autoPict="0">
                <anchor moveWithCells="1">
                  <from>
                    <xdr:col>2</xdr:col>
                    <xdr:colOff>0</xdr:colOff>
                    <xdr:row>22</xdr:row>
                    <xdr:rowOff>133350</xdr:rowOff>
                  </from>
                  <to>
                    <xdr:col>5</xdr:col>
                    <xdr:colOff>88900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35" name="Check Box 104">
              <controlPr defaultSize="0" autoFill="0" autoLine="0" autoPict="0">
                <anchor moveWithCells="1">
                  <from>
                    <xdr:col>1</xdr:col>
                    <xdr:colOff>0</xdr:colOff>
                    <xdr:row>23</xdr:row>
                    <xdr:rowOff>133350</xdr:rowOff>
                  </from>
                  <to>
                    <xdr:col>5</xdr:col>
                    <xdr:colOff>260350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36" name="Check Box 105">
              <controlPr defaultSize="0" autoFill="0" autoLine="0" autoPict="0">
                <anchor moveWithCells="1">
                  <from>
                    <xdr:col>2</xdr:col>
                    <xdr:colOff>0</xdr:colOff>
                    <xdr:row>23</xdr:row>
                    <xdr:rowOff>133350</xdr:rowOff>
                  </from>
                  <to>
                    <xdr:col>5</xdr:col>
                    <xdr:colOff>95250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37" name="Check Box 106">
              <controlPr defaultSize="0" autoFill="0" autoLine="0" autoPict="0">
                <anchor moveWithCells="1">
                  <from>
                    <xdr:col>1</xdr:col>
                    <xdr:colOff>0</xdr:colOff>
                    <xdr:row>24</xdr:row>
                    <xdr:rowOff>133350</xdr:rowOff>
                  </from>
                  <to>
                    <xdr:col>5</xdr:col>
                    <xdr:colOff>260350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38" name="Check Box 107">
              <controlPr defaultSize="0" autoFill="0" autoLine="0" autoPict="0">
                <anchor moveWithCells="1">
                  <from>
                    <xdr:col>2</xdr:col>
                    <xdr:colOff>0</xdr:colOff>
                    <xdr:row>24</xdr:row>
                    <xdr:rowOff>133350</xdr:rowOff>
                  </from>
                  <to>
                    <xdr:col>5</xdr:col>
                    <xdr:colOff>88900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39" name="Check Box 108">
              <controlPr defaultSize="0" autoFill="0" autoLine="0" autoPict="0">
                <anchor moveWithCells="1">
                  <from>
                    <xdr:col>1</xdr:col>
                    <xdr:colOff>0</xdr:colOff>
                    <xdr:row>25</xdr:row>
                    <xdr:rowOff>139700</xdr:rowOff>
                  </from>
                  <to>
                    <xdr:col>5</xdr:col>
                    <xdr:colOff>260350</xdr:colOff>
                    <xdr:row>27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40" name="Check Box 109">
              <controlPr defaultSize="0" autoFill="0" autoLine="0" autoPict="0">
                <anchor moveWithCells="1">
                  <from>
                    <xdr:col>2</xdr:col>
                    <xdr:colOff>0</xdr:colOff>
                    <xdr:row>25</xdr:row>
                    <xdr:rowOff>146050</xdr:rowOff>
                  </from>
                  <to>
                    <xdr:col>5</xdr:col>
                    <xdr:colOff>107950</xdr:colOff>
                    <xdr:row>27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41" name="Check Box 110">
              <controlPr defaultSize="0" autoFill="0" autoLine="0" autoPict="0">
                <anchor moveWithCells="1">
                  <from>
                    <xdr:col>1</xdr:col>
                    <xdr:colOff>0</xdr:colOff>
                    <xdr:row>26</xdr:row>
                    <xdr:rowOff>139700</xdr:rowOff>
                  </from>
                  <to>
                    <xdr:col>5</xdr:col>
                    <xdr:colOff>260350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42" name="Check Box 111">
              <controlPr defaultSize="0" autoFill="0" autoLine="0" autoPict="0">
                <anchor moveWithCells="1">
                  <from>
                    <xdr:col>2</xdr:col>
                    <xdr:colOff>0</xdr:colOff>
                    <xdr:row>26</xdr:row>
                    <xdr:rowOff>139700</xdr:rowOff>
                  </from>
                  <to>
                    <xdr:col>5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43" name="Check Box 112">
              <controlPr defaultSize="0" autoFill="0" autoLine="0" autoPict="0">
                <anchor moveWithCells="1">
                  <from>
                    <xdr:col>1</xdr:col>
                    <xdr:colOff>0</xdr:colOff>
                    <xdr:row>27</xdr:row>
                    <xdr:rowOff>133350</xdr:rowOff>
                  </from>
                  <to>
                    <xdr:col>5</xdr:col>
                    <xdr:colOff>260350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44" name="Check Box 113">
              <controlPr defaultSize="0" autoFill="0" autoLine="0" autoPict="0">
                <anchor moveWithCells="1">
                  <from>
                    <xdr:col>2</xdr:col>
                    <xdr:colOff>0</xdr:colOff>
                    <xdr:row>27</xdr:row>
                    <xdr:rowOff>133350</xdr:rowOff>
                  </from>
                  <to>
                    <xdr:col>5</xdr:col>
                    <xdr:colOff>88900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45" name="Check Box 114">
              <controlPr defaultSize="0" autoFill="0" autoLine="0" autoPict="0">
                <anchor moveWithCells="1">
                  <from>
                    <xdr:col>1</xdr:col>
                    <xdr:colOff>0</xdr:colOff>
                    <xdr:row>28</xdr:row>
                    <xdr:rowOff>133350</xdr:rowOff>
                  </from>
                  <to>
                    <xdr:col>5</xdr:col>
                    <xdr:colOff>260350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46" name="Check Box 115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133350</xdr:rowOff>
                  </from>
                  <to>
                    <xdr:col>5</xdr:col>
                    <xdr:colOff>88900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47" name="Check Box 116">
              <controlPr defaultSize="0" autoFill="0" autoLine="0" autoPict="0">
                <anchor moveWithCells="1">
                  <from>
                    <xdr:col>1</xdr:col>
                    <xdr:colOff>0</xdr:colOff>
                    <xdr:row>29</xdr:row>
                    <xdr:rowOff>133350</xdr:rowOff>
                  </from>
                  <to>
                    <xdr:col>5</xdr:col>
                    <xdr:colOff>260350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48" name="Check Box 117">
              <controlPr defaultSize="0" autoFill="0" autoLine="0" autoPict="0">
                <anchor moveWithCells="1">
                  <from>
                    <xdr:col>2</xdr:col>
                    <xdr:colOff>0</xdr:colOff>
                    <xdr:row>29</xdr:row>
                    <xdr:rowOff>133350</xdr:rowOff>
                  </from>
                  <to>
                    <xdr:col>5</xdr:col>
                    <xdr:colOff>95250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49" name="Check Box 118">
              <controlPr defaultSize="0" autoFill="0" autoLine="0" autoPict="0">
                <anchor moveWithCells="1">
                  <from>
                    <xdr:col>1</xdr:col>
                    <xdr:colOff>0</xdr:colOff>
                    <xdr:row>30</xdr:row>
                    <xdr:rowOff>133350</xdr:rowOff>
                  </from>
                  <to>
                    <xdr:col>5</xdr:col>
                    <xdr:colOff>260350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50" name="Check Box 119">
              <controlPr defaultSize="0" autoFill="0" autoLine="0" autoPict="0">
                <anchor moveWithCells="1">
                  <from>
                    <xdr:col>2</xdr:col>
                    <xdr:colOff>0</xdr:colOff>
                    <xdr:row>30</xdr:row>
                    <xdr:rowOff>133350</xdr:rowOff>
                  </from>
                  <to>
                    <xdr:col>5</xdr:col>
                    <xdr:colOff>88900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51" name="Check Box 120">
              <controlPr defaultSize="0" autoFill="0" autoLine="0" autoPict="0">
                <anchor moveWithCells="1">
                  <from>
                    <xdr:col>1</xdr:col>
                    <xdr:colOff>0</xdr:colOff>
                    <xdr:row>31</xdr:row>
                    <xdr:rowOff>139700</xdr:rowOff>
                  </from>
                  <to>
                    <xdr:col>5</xdr:col>
                    <xdr:colOff>260350</xdr:colOff>
                    <xdr:row>33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52" name="Check Box 121">
              <controlPr defaultSize="0" autoFill="0" autoLine="0" autoPict="0">
                <anchor moveWithCells="1">
                  <from>
                    <xdr:col>2</xdr:col>
                    <xdr:colOff>0</xdr:colOff>
                    <xdr:row>31</xdr:row>
                    <xdr:rowOff>146050</xdr:rowOff>
                  </from>
                  <to>
                    <xdr:col>5</xdr:col>
                    <xdr:colOff>107950</xdr:colOff>
                    <xdr:row>33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53" name="Check Box 122">
              <controlPr defaultSize="0" autoFill="0" autoLine="0" autoPict="0">
                <anchor moveWithCells="1">
                  <from>
                    <xdr:col>1</xdr:col>
                    <xdr:colOff>0</xdr:colOff>
                    <xdr:row>32</xdr:row>
                    <xdr:rowOff>139700</xdr:rowOff>
                  </from>
                  <to>
                    <xdr:col>5</xdr:col>
                    <xdr:colOff>260350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54" name="Check Box 123">
              <controlPr defaultSize="0" autoFill="0" autoLine="0" autoPict="0">
                <anchor moveWithCells="1">
                  <from>
                    <xdr:col>2</xdr:col>
                    <xdr:colOff>0</xdr:colOff>
                    <xdr:row>32</xdr:row>
                    <xdr:rowOff>139700</xdr:rowOff>
                  </from>
                  <to>
                    <xdr:col>5</xdr:col>
                    <xdr:colOff>95250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55" name="Check Box 124">
              <controlPr defaultSize="0" autoFill="0" autoLine="0" autoPict="0">
                <anchor moveWithCells="1">
                  <from>
                    <xdr:col>1</xdr:col>
                    <xdr:colOff>0</xdr:colOff>
                    <xdr:row>33</xdr:row>
                    <xdr:rowOff>133350</xdr:rowOff>
                  </from>
                  <to>
                    <xdr:col>5</xdr:col>
                    <xdr:colOff>260350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56" name="Check Box 125">
              <controlPr defaultSize="0" autoFill="0" autoLine="0" autoPict="0">
                <anchor moveWithCells="1">
                  <from>
                    <xdr:col>2</xdr:col>
                    <xdr:colOff>0</xdr:colOff>
                    <xdr:row>33</xdr:row>
                    <xdr:rowOff>133350</xdr:rowOff>
                  </from>
                  <to>
                    <xdr:col>5</xdr:col>
                    <xdr:colOff>88900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57" name="Check Box 126">
              <controlPr defaultSize="0" autoFill="0" autoLine="0" autoPict="0">
                <anchor moveWithCells="1">
                  <from>
                    <xdr:col>1</xdr:col>
                    <xdr:colOff>0</xdr:colOff>
                    <xdr:row>34</xdr:row>
                    <xdr:rowOff>133350</xdr:rowOff>
                  </from>
                  <to>
                    <xdr:col>5</xdr:col>
                    <xdr:colOff>260350</xdr:colOff>
                    <xdr:row>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58" name="Check Box 127">
              <controlPr defaultSize="0" autoFill="0" autoLine="0" autoPict="0">
                <anchor moveWithCells="1">
                  <from>
                    <xdr:col>2</xdr:col>
                    <xdr:colOff>0</xdr:colOff>
                    <xdr:row>34</xdr:row>
                    <xdr:rowOff>133350</xdr:rowOff>
                  </from>
                  <to>
                    <xdr:col>5</xdr:col>
                    <xdr:colOff>88900</xdr:colOff>
                    <xdr:row>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59" name="Check Box 128">
              <controlPr defaultSize="0" autoFill="0" autoLine="0" autoPict="0">
                <anchor moveWithCells="1">
                  <from>
                    <xdr:col>1</xdr:col>
                    <xdr:colOff>0</xdr:colOff>
                    <xdr:row>35</xdr:row>
                    <xdr:rowOff>133350</xdr:rowOff>
                  </from>
                  <to>
                    <xdr:col>5</xdr:col>
                    <xdr:colOff>260350</xdr:colOff>
                    <xdr:row>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60" name="Check Box 129">
              <controlPr defaultSize="0" autoFill="0" autoLine="0" autoPict="0">
                <anchor moveWithCells="1">
                  <from>
                    <xdr:col>2</xdr:col>
                    <xdr:colOff>0</xdr:colOff>
                    <xdr:row>35</xdr:row>
                    <xdr:rowOff>133350</xdr:rowOff>
                  </from>
                  <to>
                    <xdr:col>5</xdr:col>
                    <xdr:colOff>95250</xdr:colOff>
                    <xdr:row>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61" name="Check Box 130">
              <controlPr defaultSize="0" autoFill="0" autoLine="0" autoPict="0">
                <anchor moveWithCells="1">
                  <from>
                    <xdr:col>1</xdr:col>
                    <xdr:colOff>0</xdr:colOff>
                    <xdr:row>36</xdr:row>
                    <xdr:rowOff>133350</xdr:rowOff>
                  </from>
                  <to>
                    <xdr:col>5</xdr:col>
                    <xdr:colOff>260350</xdr:colOff>
                    <xdr:row>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62" name="Check Box 131">
              <controlPr defaultSize="0" autoFill="0" autoLine="0" autoPict="0">
                <anchor moveWithCells="1">
                  <from>
                    <xdr:col>2</xdr:col>
                    <xdr:colOff>0</xdr:colOff>
                    <xdr:row>36</xdr:row>
                    <xdr:rowOff>133350</xdr:rowOff>
                  </from>
                  <to>
                    <xdr:col>5</xdr:col>
                    <xdr:colOff>88900</xdr:colOff>
                    <xdr:row>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63" name="Check Box 132">
              <controlPr defaultSize="0" autoFill="0" autoLine="0" autoPict="0">
                <anchor moveWithCells="1">
                  <from>
                    <xdr:col>1</xdr:col>
                    <xdr:colOff>0</xdr:colOff>
                    <xdr:row>37</xdr:row>
                    <xdr:rowOff>133350</xdr:rowOff>
                  </from>
                  <to>
                    <xdr:col>5</xdr:col>
                    <xdr:colOff>260350</xdr:colOff>
                    <xdr:row>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64" name="Check Box 133">
              <controlPr defaultSize="0" autoFill="0" autoLine="0" autoPict="0">
                <anchor moveWithCells="1">
                  <from>
                    <xdr:col>2</xdr:col>
                    <xdr:colOff>0</xdr:colOff>
                    <xdr:row>37</xdr:row>
                    <xdr:rowOff>133350</xdr:rowOff>
                  </from>
                  <to>
                    <xdr:col>5</xdr:col>
                    <xdr:colOff>107950</xdr:colOff>
                    <xdr:row>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65" name="Check Box 134">
              <controlPr defaultSize="0" autoFill="0" autoLine="0" autoPict="0">
                <anchor moveWithCells="1">
                  <from>
                    <xdr:col>1</xdr:col>
                    <xdr:colOff>0</xdr:colOff>
                    <xdr:row>38</xdr:row>
                    <xdr:rowOff>133350</xdr:rowOff>
                  </from>
                  <to>
                    <xdr:col>5</xdr:col>
                    <xdr:colOff>260350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66" name="Check Box 135">
              <controlPr defaultSize="0" autoFill="0" autoLine="0" autoPict="0">
                <anchor moveWithCells="1">
                  <from>
                    <xdr:col>2</xdr:col>
                    <xdr:colOff>0</xdr:colOff>
                    <xdr:row>38</xdr:row>
                    <xdr:rowOff>133350</xdr:rowOff>
                  </from>
                  <to>
                    <xdr:col>5</xdr:col>
                    <xdr:colOff>95250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67" name="Check Box 136">
              <controlPr defaultSize="0" autoFill="0" autoLine="0" autoPict="0">
                <anchor moveWithCells="1">
                  <from>
                    <xdr:col>1</xdr:col>
                    <xdr:colOff>0</xdr:colOff>
                    <xdr:row>39</xdr:row>
                    <xdr:rowOff>133350</xdr:rowOff>
                  </from>
                  <to>
                    <xdr:col>5</xdr:col>
                    <xdr:colOff>260350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68" name="Check Box 137">
              <controlPr defaultSize="0" autoFill="0" autoLine="0" autoPict="0">
                <anchor moveWithCells="1">
                  <from>
                    <xdr:col>2</xdr:col>
                    <xdr:colOff>0</xdr:colOff>
                    <xdr:row>39</xdr:row>
                    <xdr:rowOff>133350</xdr:rowOff>
                  </from>
                  <to>
                    <xdr:col>5</xdr:col>
                    <xdr:colOff>88900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69" name="Check Box 138">
              <controlPr defaultSize="0" autoFill="0" autoLine="0" autoPict="0">
                <anchor moveWithCells="1">
                  <from>
                    <xdr:col>1</xdr:col>
                    <xdr:colOff>0</xdr:colOff>
                    <xdr:row>40</xdr:row>
                    <xdr:rowOff>133350</xdr:rowOff>
                  </from>
                  <to>
                    <xdr:col>5</xdr:col>
                    <xdr:colOff>260350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70" name="Check Box 139">
              <controlPr defaultSize="0" autoFill="0" autoLine="0" autoPict="0">
                <anchor moveWithCells="1">
                  <from>
                    <xdr:col>2</xdr:col>
                    <xdr:colOff>0</xdr:colOff>
                    <xdr:row>40</xdr:row>
                    <xdr:rowOff>133350</xdr:rowOff>
                  </from>
                  <to>
                    <xdr:col>5</xdr:col>
                    <xdr:colOff>88900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71" name="Check Box 140">
              <controlPr defaultSize="0" autoFill="0" autoLine="0" autoPict="0">
                <anchor moveWithCells="1">
                  <from>
                    <xdr:col>1</xdr:col>
                    <xdr:colOff>0</xdr:colOff>
                    <xdr:row>41</xdr:row>
                    <xdr:rowOff>133350</xdr:rowOff>
                  </from>
                  <to>
                    <xdr:col>5</xdr:col>
                    <xdr:colOff>260350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72" name="Check Box 141">
              <controlPr defaultSize="0" autoFill="0" autoLine="0" autoPict="0">
                <anchor moveWithCells="1">
                  <from>
                    <xdr:col>2</xdr:col>
                    <xdr:colOff>0</xdr:colOff>
                    <xdr:row>41</xdr:row>
                    <xdr:rowOff>133350</xdr:rowOff>
                  </from>
                  <to>
                    <xdr:col>5</xdr:col>
                    <xdr:colOff>95250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73" name="Check Box 142">
              <controlPr defaultSize="0" autoFill="0" autoLine="0" autoPict="0">
                <anchor moveWithCells="1">
                  <from>
                    <xdr:col>1</xdr:col>
                    <xdr:colOff>0</xdr:colOff>
                    <xdr:row>42</xdr:row>
                    <xdr:rowOff>133350</xdr:rowOff>
                  </from>
                  <to>
                    <xdr:col>5</xdr:col>
                    <xdr:colOff>260350</xdr:colOff>
                    <xdr:row>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74" name="Check Box 143">
              <controlPr defaultSize="0" autoFill="0" autoLine="0" autoPict="0">
                <anchor moveWithCells="1">
                  <from>
                    <xdr:col>2</xdr:col>
                    <xdr:colOff>0</xdr:colOff>
                    <xdr:row>42</xdr:row>
                    <xdr:rowOff>133350</xdr:rowOff>
                  </from>
                  <to>
                    <xdr:col>5</xdr:col>
                    <xdr:colOff>88900</xdr:colOff>
                    <xdr:row>44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75" name="Check Box 203">
              <controlPr defaultSize="0" autoFill="0" autoLine="0" autoPict="0">
                <anchor moveWithCells="1">
                  <from>
                    <xdr:col>1</xdr:col>
                    <xdr:colOff>0</xdr:colOff>
                    <xdr:row>5</xdr:row>
                    <xdr:rowOff>146050</xdr:rowOff>
                  </from>
                  <to>
                    <xdr:col>5</xdr:col>
                    <xdr:colOff>247650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76" name="Check Box 204">
              <controlPr defaultSize="0" autoFill="0" autoLine="0" autoPict="0">
                <anchor moveWithCells="1">
                  <from>
                    <xdr:col>2</xdr:col>
                    <xdr:colOff>0</xdr:colOff>
                    <xdr:row>5</xdr:row>
                    <xdr:rowOff>152400</xdr:rowOff>
                  </from>
                  <to>
                    <xdr:col>5</xdr:col>
                    <xdr:colOff>95250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77" name="Check Box 206">
              <controlPr defaultSize="0" autoFill="0" autoLine="0" autoPict="0">
                <anchor moveWithCells="1">
                  <from>
                    <xdr:col>1</xdr:col>
                    <xdr:colOff>0</xdr:colOff>
                    <xdr:row>13</xdr:row>
                    <xdr:rowOff>133350</xdr:rowOff>
                  </from>
                  <to>
                    <xdr:col>5</xdr:col>
                    <xdr:colOff>254000</xdr:colOff>
                    <xdr:row>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78" name="Check Box 207">
              <controlPr defaultSize="0" autoFill="0" autoLine="0" autoPict="0">
                <anchor moveWithCells="1">
                  <from>
                    <xdr:col>2</xdr:col>
                    <xdr:colOff>0</xdr:colOff>
                    <xdr:row>13</xdr:row>
                    <xdr:rowOff>133350</xdr:rowOff>
                  </from>
                  <to>
                    <xdr:col>5</xdr:col>
                    <xdr:colOff>82550</xdr:colOff>
                    <xdr:row>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79" name="Check Box 212">
              <controlPr defaultSize="0" autoFill="0" autoLine="0" autoPict="0">
                <anchor moveWithCells="1">
                  <from>
                    <xdr:col>1</xdr:col>
                    <xdr:colOff>0</xdr:colOff>
                    <xdr:row>43</xdr:row>
                    <xdr:rowOff>139700</xdr:rowOff>
                  </from>
                  <to>
                    <xdr:col>5</xdr:col>
                    <xdr:colOff>254000</xdr:colOff>
                    <xdr:row>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80" name="Check Box 213">
              <controlPr defaultSize="0" autoFill="0" autoLine="0" autoPict="0">
                <anchor moveWithCells="1">
                  <from>
                    <xdr:col>2</xdr:col>
                    <xdr:colOff>0</xdr:colOff>
                    <xdr:row>43</xdr:row>
                    <xdr:rowOff>139700</xdr:rowOff>
                  </from>
                  <to>
                    <xdr:col>5</xdr:col>
                    <xdr:colOff>95250</xdr:colOff>
                    <xdr:row>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81" name="Check Box 214">
              <controlPr defaultSize="0" autoFill="0" autoLine="0" autoPict="0">
                <anchor moveWithCells="1">
                  <from>
                    <xdr:col>1</xdr:col>
                    <xdr:colOff>0</xdr:colOff>
                    <xdr:row>44</xdr:row>
                    <xdr:rowOff>133350</xdr:rowOff>
                  </from>
                  <to>
                    <xdr:col>5</xdr:col>
                    <xdr:colOff>254000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82" name="Check Box 215">
              <controlPr defaultSize="0" autoFill="0" autoLine="0" autoPict="0">
                <anchor moveWithCells="1">
                  <from>
                    <xdr:col>2</xdr:col>
                    <xdr:colOff>0</xdr:colOff>
                    <xdr:row>44</xdr:row>
                    <xdr:rowOff>133350</xdr:rowOff>
                  </from>
                  <to>
                    <xdr:col>5</xdr:col>
                    <xdr:colOff>82550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83" name="Check Box 216">
              <controlPr defaultSize="0" autoFill="0" autoLine="0" autoPict="0">
                <anchor moveWithCells="1">
                  <from>
                    <xdr:col>1</xdr:col>
                    <xdr:colOff>0</xdr:colOff>
                    <xdr:row>45</xdr:row>
                    <xdr:rowOff>133350</xdr:rowOff>
                  </from>
                  <to>
                    <xdr:col>5</xdr:col>
                    <xdr:colOff>254000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84" name="Check Box 217">
              <controlPr defaultSize="0" autoFill="0" autoLine="0" autoPict="0">
                <anchor moveWithCells="1">
                  <from>
                    <xdr:col>2</xdr:col>
                    <xdr:colOff>0</xdr:colOff>
                    <xdr:row>45</xdr:row>
                    <xdr:rowOff>133350</xdr:rowOff>
                  </from>
                  <to>
                    <xdr:col>5</xdr:col>
                    <xdr:colOff>82550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85" name="Check Box 218">
              <controlPr defaultSize="0" autoFill="0" autoLine="0" autoPict="0">
                <anchor moveWithCells="1">
                  <from>
                    <xdr:col>1</xdr:col>
                    <xdr:colOff>0</xdr:colOff>
                    <xdr:row>46</xdr:row>
                    <xdr:rowOff>133350</xdr:rowOff>
                  </from>
                  <to>
                    <xdr:col>5</xdr:col>
                    <xdr:colOff>260350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86" name="Check Box 219">
              <controlPr defaultSize="0" autoFill="0" autoLine="0" autoPict="0">
                <anchor moveWithCells="1">
                  <from>
                    <xdr:col>2</xdr:col>
                    <xdr:colOff>0</xdr:colOff>
                    <xdr:row>46</xdr:row>
                    <xdr:rowOff>133350</xdr:rowOff>
                  </from>
                  <to>
                    <xdr:col>5</xdr:col>
                    <xdr:colOff>95250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87" name="Check Box 221">
              <controlPr defaultSize="0" autoFill="0" autoLine="0" autoPict="0">
                <anchor moveWithCells="1">
                  <from>
                    <xdr:col>1</xdr:col>
                    <xdr:colOff>0</xdr:colOff>
                    <xdr:row>48</xdr:row>
                    <xdr:rowOff>139700</xdr:rowOff>
                  </from>
                  <to>
                    <xdr:col>5</xdr:col>
                    <xdr:colOff>260350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88" name="Check Box 222">
              <controlPr defaultSize="0" autoFill="0" autoLine="0" autoPict="0">
                <anchor moveWithCells="1">
                  <from>
                    <xdr:col>2</xdr:col>
                    <xdr:colOff>0</xdr:colOff>
                    <xdr:row>48</xdr:row>
                    <xdr:rowOff>139700</xdr:rowOff>
                  </from>
                  <to>
                    <xdr:col>5</xdr:col>
                    <xdr:colOff>95250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89" name="Check Box 223">
              <controlPr defaultSize="0" autoFill="0" autoLine="0" autoPict="0">
                <anchor moveWithCells="1">
                  <from>
                    <xdr:col>1</xdr:col>
                    <xdr:colOff>0</xdr:colOff>
                    <xdr:row>49</xdr:row>
                    <xdr:rowOff>133350</xdr:rowOff>
                  </from>
                  <to>
                    <xdr:col>5</xdr:col>
                    <xdr:colOff>260350</xdr:colOff>
                    <xdr:row>51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90" name="Check Box 224">
              <controlPr defaultSize="0" autoFill="0" autoLine="0" autoPict="0">
                <anchor moveWithCells="1">
                  <from>
                    <xdr:col>2</xdr:col>
                    <xdr:colOff>0</xdr:colOff>
                    <xdr:row>49</xdr:row>
                    <xdr:rowOff>133350</xdr:rowOff>
                  </from>
                  <to>
                    <xdr:col>5</xdr:col>
                    <xdr:colOff>88900</xdr:colOff>
                    <xdr:row>51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91" name="Check Box 225">
              <controlPr defaultSize="0" autoFill="0" autoLine="0" autoPict="0">
                <anchor moveWithCells="1">
                  <from>
                    <xdr:col>1</xdr:col>
                    <xdr:colOff>0</xdr:colOff>
                    <xdr:row>50</xdr:row>
                    <xdr:rowOff>133350</xdr:rowOff>
                  </from>
                  <to>
                    <xdr:col>5</xdr:col>
                    <xdr:colOff>260350</xdr:colOff>
                    <xdr:row>52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92" name="Check Box 226">
              <controlPr defaultSize="0" autoFill="0" autoLine="0" autoPict="0">
                <anchor moveWithCells="1">
                  <from>
                    <xdr:col>2</xdr:col>
                    <xdr:colOff>0</xdr:colOff>
                    <xdr:row>50</xdr:row>
                    <xdr:rowOff>133350</xdr:rowOff>
                  </from>
                  <to>
                    <xdr:col>5</xdr:col>
                    <xdr:colOff>88900</xdr:colOff>
                    <xdr:row>52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93" name="Check Box 227">
              <controlPr defaultSize="0" autoFill="0" autoLine="0" autoPict="0">
                <anchor moveWithCells="1">
                  <from>
                    <xdr:col>1</xdr:col>
                    <xdr:colOff>0</xdr:colOff>
                    <xdr:row>51</xdr:row>
                    <xdr:rowOff>133350</xdr:rowOff>
                  </from>
                  <to>
                    <xdr:col>5</xdr:col>
                    <xdr:colOff>260350</xdr:colOff>
                    <xdr:row>53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94" name="Check Box 228">
              <controlPr defaultSize="0" autoFill="0" autoLine="0" autoPict="0">
                <anchor moveWithCells="1">
                  <from>
                    <xdr:col>2</xdr:col>
                    <xdr:colOff>0</xdr:colOff>
                    <xdr:row>51</xdr:row>
                    <xdr:rowOff>133350</xdr:rowOff>
                  </from>
                  <to>
                    <xdr:col>5</xdr:col>
                    <xdr:colOff>95250</xdr:colOff>
                    <xdr:row>53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95" name="Check Box 229">
              <controlPr defaultSize="0" autoFill="0" autoLine="0" autoPict="0">
                <anchor moveWithCells="1">
                  <from>
                    <xdr:col>1</xdr:col>
                    <xdr:colOff>0</xdr:colOff>
                    <xdr:row>52</xdr:row>
                    <xdr:rowOff>133350</xdr:rowOff>
                  </from>
                  <to>
                    <xdr:col>5</xdr:col>
                    <xdr:colOff>260350</xdr:colOff>
                    <xdr:row>54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96" name="Check Box 230">
              <controlPr defaultSize="0" autoFill="0" autoLine="0" autoPict="0">
                <anchor moveWithCells="1">
                  <from>
                    <xdr:col>2</xdr:col>
                    <xdr:colOff>0</xdr:colOff>
                    <xdr:row>52</xdr:row>
                    <xdr:rowOff>133350</xdr:rowOff>
                  </from>
                  <to>
                    <xdr:col>5</xdr:col>
                    <xdr:colOff>88900</xdr:colOff>
                    <xdr:row>54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97" name="Check Box 231">
              <controlPr defaultSize="0" autoFill="0" autoLine="0" autoPict="0">
                <anchor moveWithCells="1">
                  <from>
                    <xdr:col>1</xdr:col>
                    <xdr:colOff>0</xdr:colOff>
                    <xdr:row>47</xdr:row>
                    <xdr:rowOff>133350</xdr:rowOff>
                  </from>
                  <to>
                    <xdr:col>5</xdr:col>
                    <xdr:colOff>260350</xdr:colOff>
                    <xdr:row>49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98" name="Check Box 232">
              <controlPr defaultSize="0" autoFill="0" autoLine="0" autoPict="0">
                <anchor moveWithCells="1">
                  <from>
                    <xdr:col>2</xdr:col>
                    <xdr:colOff>0</xdr:colOff>
                    <xdr:row>47</xdr:row>
                    <xdr:rowOff>133350</xdr:rowOff>
                  </from>
                  <to>
                    <xdr:col>5</xdr:col>
                    <xdr:colOff>88900</xdr:colOff>
                    <xdr:row>49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99" name="Check Box 233">
              <controlPr defaultSize="0" autoFill="0" autoLine="0" autoPict="0">
                <anchor moveWithCells="1">
                  <from>
                    <xdr:col>1</xdr:col>
                    <xdr:colOff>0</xdr:colOff>
                    <xdr:row>53</xdr:row>
                    <xdr:rowOff>133350</xdr:rowOff>
                  </from>
                  <to>
                    <xdr:col>5</xdr:col>
                    <xdr:colOff>260350</xdr:colOff>
                    <xdr:row>55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100" name="Check Box 234">
              <controlPr defaultSize="0" autoFill="0" autoLine="0" autoPict="0">
                <anchor moveWithCells="1">
                  <from>
                    <xdr:col>2</xdr:col>
                    <xdr:colOff>0</xdr:colOff>
                    <xdr:row>53</xdr:row>
                    <xdr:rowOff>133350</xdr:rowOff>
                  </from>
                  <to>
                    <xdr:col>5</xdr:col>
                    <xdr:colOff>88900</xdr:colOff>
                    <xdr:row>55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101" name="Check Box 235">
              <controlPr defaultSize="0" autoFill="0" autoLine="0" autoPict="0">
                <anchor moveWithCells="1">
                  <from>
                    <xdr:col>1</xdr:col>
                    <xdr:colOff>0</xdr:colOff>
                    <xdr:row>54</xdr:row>
                    <xdr:rowOff>139700</xdr:rowOff>
                  </from>
                  <to>
                    <xdr:col>5</xdr:col>
                    <xdr:colOff>260350</xdr:colOff>
                    <xdr:row>56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102" name="Check Box 236">
              <controlPr defaultSize="0" autoFill="0" autoLine="0" autoPict="0">
                <anchor moveWithCells="1">
                  <from>
                    <xdr:col>2</xdr:col>
                    <xdr:colOff>0</xdr:colOff>
                    <xdr:row>54</xdr:row>
                    <xdr:rowOff>139700</xdr:rowOff>
                  </from>
                  <to>
                    <xdr:col>5</xdr:col>
                    <xdr:colOff>95250</xdr:colOff>
                    <xdr:row>56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103" name="Check Box 237">
              <controlPr defaultSize="0" autoFill="0" autoLine="0" autoPict="0">
                <anchor moveWithCells="1">
                  <from>
                    <xdr:col>1</xdr:col>
                    <xdr:colOff>0</xdr:colOff>
                    <xdr:row>55</xdr:row>
                    <xdr:rowOff>133350</xdr:rowOff>
                  </from>
                  <to>
                    <xdr:col>5</xdr:col>
                    <xdr:colOff>260350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104" name="Check Box 238">
              <controlPr defaultSize="0" autoFill="0" autoLine="0" autoPict="0">
                <anchor moveWithCells="1">
                  <from>
                    <xdr:col>2</xdr:col>
                    <xdr:colOff>0</xdr:colOff>
                    <xdr:row>55</xdr:row>
                    <xdr:rowOff>133350</xdr:rowOff>
                  </from>
                  <to>
                    <xdr:col>5</xdr:col>
                    <xdr:colOff>88900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105" name="Check Box 239">
              <controlPr defaultSize="0" autoFill="0" autoLine="0" autoPict="0">
                <anchor moveWithCells="1">
                  <from>
                    <xdr:col>1</xdr:col>
                    <xdr:colOff>0</xdr:colOff>
                    <xdr:row>56</xdr:row>
                    <xdr:rowOff>133350</xdr:rowOff>
                  </from>
                  <to>
                    <xdr:col>5</xdr:col>
                    <xdr:colOff>260350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106" name="Check Box 240">
              <controlPr defaultSize="0" autoFill="0" autoLine="0" autoPict="0">
                <anchor moveWithCells="1">
                  <from>
                    <xdr:col>2</xdr:col>
                    <xdr:colOff>0</xdr:colOff>
                    <xdr:row>56</xdr:row>
                    <xdr:rowOff>133350</xdr:rowOff>
                  </from>
                  <to>
                    <xdr:col>5</xdr:col>
                    <xdr:colOff>88900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107" name="Check Box 241">
              <controlPr defaultSize="0" autoFill="0" autoLine="0" autoPict="0">
                <anchor moveWithCells="1">
                  <from>
                    <xdr:col>1</xdr:col>
                    <xdr:colOff>0</xdr:colOff>
                    <xdr:row>57</xdr:row>
                    <xdr:rowOff>133350</xdr:rowOff>
                  </from>
                  <to>
                    <xdr:col>5</xdr:col>
                    <xdr:colOff>260350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108" name="Check Box 242">
              <controlPr defaultSize="0" autoFill="0" autoLine="0" autoPict="0">
                <anchor moveWithCells="1">
                  <from>
                    <xdr:col>2</xdr:col>
                    <xdr:colOff>0</xdr:colOff>
                    <xdr:row>57</xdr:row>
                    <xdr:rowOff>133350</xdr:rowOff>
                  </from>
                  <to>
                    <xdr:col>5</xdr:col>
                    <xdr:colOff>95250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109" name="Check Box 243">
              <controlPr defaultSize="0" autoFill="0" autoLine="0" autoPict="0">
                <anchor moveWithCells="1">
                  <from>
                    <xdr:col>1</xdr:col>
                    <xdr:colOff>0</xdr:colOff>
                    <xdr:row>58</xdr:row>
                    <xdr:rowOff>133350</xdr:rowOff>
                  </from>
                  <to>
                    <xdr:col>5</xdr:col>
                    <xdr:colOff>260350</xdr:colOff>
                    <xdr:row>60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110" name="Check Box 244">
              <controlPr defaultSize="0" autoFill="0" autoLine="0" autoPict="0">
                <anchor moveWithCells="1">
                  <from>
                    <xdr:col>2</xdr:col>
                    <xdr:colOff>0</xdr:colOff>
                    <xdr:row>58</xdr:row>
                    <xdr:rowOff>133350</xdr:rowOff>
                  </from>
                  <to>
                    <xdr:col>5</xdr:col>
                    <xdr:colOff>88900</xdr:colOff>
                    <xdr:row>60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111" name="Check Box 245">
              <controlPr defaultSize="0" autoFill="0" autoLine="0" autoPict="0">
                <anchor moveWithCells="1">
                  <from>
                    <xdr:col>1</xdr:col>
                    <xdr:colOff>0</xdr:colOff>
                    <xdr:row>59</xdr:row>
                    <xdr:rowOff>139700</xdr:rowOff>
                  </from>
                  <to>
                    <xdr:col>5</xdr:col>
                    <xdr:colOff>260350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112" name="Check Box 246">
              <controlPr defaultSize="0" autoFill="0" autoLine="0" autoPict="0">
                <anchor moveWithCells="1">
                  <from>
                    <xdr:col>2</xdr:col>
                    <xdr:colOff>0</xdr:colOff>
                    <xdr:row>59</xdr:row>
                    <xdr:rowOff>139700</xdr:rowOff>
                  </from>
                  <to>
                    <xdr:col>5</xdr:col>
                    <xdr:colOff>95250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113" name="Check Box 247">
              <controlPr defaultSize="0" autoFill="0" autoLine="0" autoPict="0">
                <anchor moveWithCells="1">
                  <from>
                    <xdr:col>1</xdr:col>
                    <xdr:colOff>0</xdr:colOff>
                    <xdr:row>60</xdr:row>
                    <xdr:rowOff>133350</xdr:rowOff>
                  </from>
                  <to>
                    <xdr:col>5</xdr:col>
                    <xdr:colOff>260350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114" name="Check Box 248">
              <controlPr defaultSize="0" autoFill="0" autoLine="0" autoPict="0">
                <anchor moveWithCells="1">
                  <from>
                    <xdr:col>2</xdr:col>
                    <xdr:colOff>0</xdr:colOff>
                    <xdr:row>60</xdr:row>
                    <xdr:rowOff>133350</xdr:rowOff>
                  </from>
                  <to>
                    <xdr:col>5</xdr:col>
                    <xdr:colOff>88900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115" name="Check Box 249">
              <controlPr defaultSize="0" autoFill="0" autoLine="0" autoPict="0">
                <anchor moveWithCells="1">
                  <from>
                    <xdr:col>1</xdr:col>
                    <xdr:colOff>0</xdr:colOff>
                    <xdr:row>61</xdr:row>
                    <xdr:rowOff>133350</xdr:rowOff>
                  </from>
                  <to>
                    <xdr:col>5</xdr:col>
                    <xdr:colOff>260350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116" name="Check Box 250">
              <controlPr defaultSize="0" autoFill="0" autoLine="0" autoPict="0">
                <anchor moveWithCells="1">
                  <from>
                    <xdr:col>2</xdr:col>
                    <xdr:colOff>0</xdr:colOff>
                    <xdr:row>61</xdr:row>
                    <xdr:rowOff>133350</xdr:rowOff>
                  </from>
                  <to>
                    <xdr:col>5</xdr:col>
                    <xdr:colOff>88900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117" name="Check Box 251">
              <controlPr defaultSize="0" autoFill="0" autoLine="0" autoPict="0">
                <anchor moveWithCells="1">
                  <from>
                    <xdr:col>1</xdr:col>
                    <xdr:colOff>0</xdr:colOff>
                    <xdr:row>62</xdr:row>
                    <xdr:rowOff>133350</xdr:rowOff>
                  </from>
                  <to>
                    <xdr:col>5</xdr:col>
                    <xdr:colOff>260350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118" name="Check Box 252">
              <controlPr defaultSize="0" autoFill="0" autoLine="0" autoPict="0">
                <anchor moveWithCells="1">
                  <from>
                    <xdr:col>2</xdr:col>
                    <xdr:colOff>0</xdr:colOff>
                    <xdr:row>62</xdr:row>
                    <xdr:rowOff>133350</xdr:rowOff>
                  </from>
                  <to>
                    <xdr:col>5</xdr:col>
                    <xdr:colOff>95250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119" name="Check Box 253">
              <controlPr defaultSize="0" autoFill="0" autoLine="0" autoPict="0">
                <anchor moveWithCells="1">
                  <from>
                    <xdr:col>1</xdr:col>
                    <xdr:colOff>0</xdr:colOff>
                    <xdr:row>64</xdr:row>
                    <xdr:rowOff>139700</xdr:rowOff>
                  </from>
                  <to>
                    <xdr:col>5</xdr:col>
                    <xdr:colOff>260350</xdr:colOff>
                    <xdr:row>66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120" name="Check Box 254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139700</xdr:rowOff>
                  </from>
                  <to>
                    <xdr:col>5</xdr:col>
                    <xdr:colOff>95250</xdr:colOff>
                    <xdr:row>66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121" name="Check Box 255">
              <controlPr defaultSize="0" autoFill="0" autoLine="0" autoPict="0">
                <anchor moveWithCells="1">
                  <from>
                    <xdr:col>1</xdr:col>
                    <xdr:colOff>0</xdr:colOff>
                    <xdr:row>65</xdr:row>
                    <xdr:rowOff>133350</xdr:rowOff>
                  </from>
                  <to>
                    <xdr:col>5</xdr:col>
                    <xdr:colOff>260350</xdr:colOff>
                    <xdr:row>67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122" name="Check Box 256">
              <controlPr defaultSize="0" autoFill="0" autoLine="0" autoPict="0">
                <anchor moveWithCells="1">
                  <from>
                    <xdr:col>2</xdr:col>
                    <xdr:colOff>0</xdr:colOff>
                    <xdr:row>65</xdr:row>
                    <xdr:rowOff>133350</xdr:rowOff>
                  </from>
                  <to>
                    <xdr:col>5</xdr:col>
                    <xdr:colOff>88900</xdr:colOff>
                    <xdr:row>67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123" name="Check Box 257">
              <controlPr defaultSize="0" autoFill="0" autoLine="0" autoPict="0">
                <anchor moveWithCells="1">
                  <from>
                    <xdr:col>1</xdr:col>
                    <xdr:colOff>0</xdr:colOff>
                    <xdr:row>66</xdr:row>
                    <xdr:rowOff>133350</xdr:rowOff>
                  </from>
                  <to>
                    <xdr:col>5</xdr:col>
                    <xdr:colOff>260350</xdr:colOff>
                    <xdr:row>68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124" name="Check Box 258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133350</xdr:rowOff>
                  </from>
                  <to>
                    <xdr:col>5</xdr:col>
                    <xdr:colOff>88900</xdr:colOff>
                    <xdr:row>68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125" name="Check Box 259">
              <controlPr defaultSize="0" autoFill="0" autoLine="0" autoPict="0">
                <anchor moveWithCells="1">
                  <from>
                    <xdr:col>1</xdr:col>
                    <xdr:colOff>0</xdr:colOff>
                    <xdr:row>67</xdr:row>
                    <xdr:rowOff>133350</xdr:rowOff>
                  </from>
                  <to>
                    <xdr:col>5</xdr:col>
                    <xdr:colOff>260350</xdr:colOff>
                    <xdr:row>69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126" name="Check Box 260">
              <controlPr defaultSize="0" autoFill="0" autoLine="0" autoPict="0">
                <anchor moveWithCells="1">
                  <from>
                    <xdr:col>2</xdr:col>
                    <xdr:colOff>0</xdr:colOff>
                    <xdr:row>67</xdr:row>
                    <xdr:rowOff>133350</xdr:rowOff>
                  </from>
                  <to>
                    <xdr:col>5</xdr:col>
                    <xdr:colOff>95250</xdr:colOff>
                    <xdr:row>69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127" name="Check Box 261">
              <controlPr defaultSize="0" autoFill="0" autoLine="0" autoPict="0">
                <anchor moveWithCells="1">
                  <from>
                    <xdr:col>1</xdr:col>
                    <xdr:colOff>0</xdr:colOff>
                    <xdr:row>68</xdr:row>
                    <xdr:rowOff>133350</xdr:rowOff>
                  </from>
                  <to>
                    <xdr:col>5</xdr:col>
                    <xdr:colOff>260350</xdr:colOff>
                    <xdr:row>70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128" name="Check Box 262">
              <controlPr defaultSize="0" autoFill="0" autoLine="0" autoPict="0">
                <anchor moveWithCells="1">
                  <from>
                    <xdr:col>2</xdr:col>
                    <xdr:colOff>0</xdr:colOff>
                    <xdr:row>68</xdr:row>
                    <xdr:rowOff>133350</xdr:rowOff>
                  </from>
                  <to>
                    <xdr:col>5</xdr:col>
                    <xdr:colOff>88900</xdr:colOff>
                    <xdr:row>70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129" name="Check Box 263">
              <controlPr defaultSize="0" autoFill="0" autoLine="0" autoPict="0">
                <anchor moveWithCells="1">
                  <from>
                    <xdr:col>1</xdr:col>
                    <xdr:colOff>0</xdr:colOff>
                    <xdr:row>63</xdr:row>
                    <xdr:rowOff>133350</xdr:rowOff>
                  </from>
                  <to>
                    <xdr:col>5</xdr:col>
                    <xdr:colOff>260350</xdr:colOff>
                    <xdr:row>65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130" name="Check Box 264">
              <controlPr defaultSize="0" autoFill="0" autoLine="0" autoPict="0">
                <anchor moveWithCells="1">
                  <from>
                    <xdr:col>2</xdr:col>
                    <xdr:colOff>0</xdr:colOff>
                    <xdr:row>63</xdr:row>
                    <xdr:rowOff>133350</xdr:rowOff>
                  </from>
                  <to>
                    <xdr:col>5</xdr:col>
                    <xdr:colOff>88900</xdr:colOff>
                    <xdr:row>65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131" name="Check Box 274">
              <controlPr defaultSize="0" autoFill="0" autoLine="0" autoPict="0">
                <anchor moveWithCells="1">
                  <from>
                    <xdr:col>1</xdr:col>
                    <xdr:colOff>0</xdr:colOff>
                    <xdr:row>69</xdr:row>
                    <xdr:rowOff>139700</xdr:rowOff>
                  </from>
                  <to>
                    <xdr:col>5</xdr:col>
                    <xdr:colOff>260350</xdr:colOff>
                    <xdr:row>71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132" name="Check Box 275">
              <controlPr defaultSize="0" autoFill="0" autoLine="0" autoPict="0">
                <anchor moveWithCells="1">
                  <from>
                    <xdr:col>2</xdr:col>
                    <xdr:colOff>0</xdr:colOff>
                    <xdr:row>69</xdr:row>
                    <xdr:rowOff>146050</xdr:rowOff>
                  </from>
                  <to>
                    <xdr:col>5</xdr:col>
                    <xdr:colOff>107950</xdr:colOff>
                    <xdr:row>71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133" name="Check Box 276">
              <controlPr defaultSize="0" autoFill="0" autoLine="0" autoPict="0">
                <anchor moveWithCells="1">
                  <from>
                    <xdr:col>1</xdr:col>
                    <xdr:colOff>0</xdr:colOff>
                    <xdr:row>70</xdr:row>
                    <xdr:rowOff>139700</xdr:rowOff>
                  </from>
                  <to>
                    <xdr:col>5</xdr:col>
                    <xdr:colOff>260350</xdr:colOff>
                    <xdr:row>72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134" name="Check Box 277">
              <controlPr defaultSize="0" autoFill="0" autoLine="0" autoPict="0">
                <anchor moveWithCells="1">
                  <from>
                    <xdr:col>2</xdr:col>
                    <xdr:colOff>0</xdr:colOff>
                    <xdr:row>70</xdr:row>
                    <xdr:rowOff>139700</xdr:rowOff>
                  </from>
                  <to>
                    <xdr:col>5</xdr:col>
                    <xdr:colOff>95250</xdr:colOff>
                    <xdr:row>72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135" name="Check Box 278">
              <controlPr defaultSize="0" autoFill="0" autoLine="0" autoPict="0">
                <anchor moveWithCells="1">
                  <from>
                    <xdr:col>1</xdr:col>
                    <xdr:colOff>0</xdr:colOff>
                    <xdr:row>71</xdr:row>
                    <xdr:rowOff>133350</xdr:rowOff>
                  </from>
                  <to>
                    <xdr:col>5</xdr:col>
                    <xdr:colOff>260350</xdr:colOff>
                    <xdr:row>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136" name="Check Box 279">
              <controlPr defaultSize="0" autoFill="0" autoLine="0" autoPict="0">
                <anchor moveWithCells="1">
                  <from>
                    <xdr:col>2</xdr:col>
                    <xdr:colOff>0</xdr:colOff>
                    <xdr:row>71</xdr:row>
                    <xdr:rowOff>133350</xdr:rowOff>
                  </from>
                  <to>
                    <xdr:col>5</xdr:col>
                    <xdr:colOff>88900</xdr:colOff>
                    <xdr:row>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137" name="Check Box 280">
              <controlPr defaultSize="0" autoFill="0" autoLine="0" autoPict="0">
                <anchor moveWithCells="1">
                  <from>
                    <xdr:col>1</xdr:col>
                    <xdr:colOff>0</xdr:colOff>
                    <xdr:row>72</xdr:row>
                    <xdr:rowOff>133350</xdr:rowOff>
                  </from>
                  <to>
                    <xdr:col>5</xdr:col>
                    <xdr:colOff>260350</xdr:colOff>
                    <xdr:row>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138" name="Check Box 281">
              <controlPr defaultSize="0" autoFill="0" autoLine="0" autoPict="0">
                <anchor moveWithCells="1">
                  <from>
                    <xdr:col>2</xdr:col>
                    <xdr:colOff>0</xdr:colOff>
                    <xdr:row>72</xdr:row>
                    <xdr:rowOff>133350</xdr:rowOff>
                  </from>
                  <to>
                    <xdr:col>5</xdr:col>
                    <xdr:colOff>88900</xdr:colOff>
                    <xdr:row>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139" name="Check Box 282">
              <controlPr defaultSize="0" autoFill="0" autoLine="0" autoPict="0">
                <anchor moveWithCells="1">
                  <from>
                    <xdr:col>1</xdr:col>
                    <xdr:colOff>0</xdr:colOff>
                    <xdr:row>73</xdr:row>
                    <xdr:rowOff>133350</xdr:rowOff>
                  </from>
                  <to>
                    <xdr:col>5</xdr:col>
                    <xdr:colOff>260350</xdr:colOff>
                    <xdr:row>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140" name="Check Box 283">
              <controlPr defaultSize="0" autoFill="0" autoLine="0" autoPict="0">
                <anchor moveWithCells="1">
                  <from>
                    <xdr:col>2</xdr:col>
                    <xdr:colOff>0</xdr:colOff>
                    <xdr:row>73</xdr:row>
                    <xdr:rowOff>133350</xdr:rowOff>
                  </from>
                  <to>
                    <xdr:col>5</xdr:col>
                    <xdr:colOff>95250</xdr:colOff>
                    <xdr:row>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141" name="Check Box 284">
              <controlPr defaultSize="0" autoFill="0" autoLine="0" autoPict="0">
                <anchor moveWithCells="1">
                  <from>
                    <xdr:col>1</xdr:col>
                    <xdr:colOff>0</xdr:colOff>
                    <xdr:row>74</xdr:row>
                    <xdr:rowOff>133350</xdr:rowOff>
                  </from>
                  <to>
                    <xdr:col>5</xdr:col>
                    <xdr:colOff>260350</xdr:colOff>
                    <xdr:row>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142" name="Check Box 285">
              <controlPr defaultSize="0" autoFill="0" autoLine="0" autoPict="0">
                <anchor moveWithCells="1">
                  <from>
                    <xdr:col>2</xdr:col>
                    <xdr:colOff>0</xdr:colOff>
                    <xdr:row>74</xdr:row>
                    <xdr:rowOff>133350</xdr:rowOff>
                  </from>
                  <to>
                    <xdr:col>5</xdr:col>
                    <xdr:colOff>88900</xdr:colOff>
                    <xdr:row>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143" name="Check Box 286">
              <controlPr defaultSize="0" autoFill="0" autoLine="0" autoPict="0">
                <anchor moveWithCells="1">
                  <from>
                    <xdr:col>1</xdr:col>
                    <xdr:colOff>0</xdr:colOff>
                    <xdr:row>75</xdr:row>
                    <xdr:rowOff>133350</xdr:rowOff>
                  </from>
                  <to>
                    <xdr:col>5</xdr:col>
                    <xdr:colOff>260350</xdr:colOff>
                    <xdr:row>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144" name="Check Box 287">
              <controlPr defaultSize="0" autoFill="0" autoLine="0" autoPict="0">
                <anchor moveWithCells="1">
                  <from>
                    <xdr:col>2</xdr:col>
                    <xdr:colOff>0</xdr:colOff>
                    <xdr:row>75</xdr:row>
                    <xdr:rowOff>133350</xdr:rowOff>
                  </from>
                  <to>
                    <xdr:col>5</xdr:col>
                    <xdr:colOff>88900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145" name="Check Box 288">
              <controlPr defaultSize="0" autoFill="0" autoLine="0" autoPict="0">
                <anchor moveWithCells="1">
                  <from>
                    <xdr:col>1</xdr:col>
                    <xdr:colOff>0</xdr:colOff>
                    <xdr:row>76</xdr:row>
                    <xdr:rowOff>139700</xdr:rowOff>
                  </from>
                  <to>
                    <xdr:col>5</xdr:col>
                    <xdr:colOff>260350</xdr:colOff>
                    <xdr:row>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146" name="Check Box 289">
              <controlPr defaultSize="0" autoFill="0" autoLine="0" autoPict="0">
                <anchor moveWithCells="1">
                  <from>
                    <xdr:col>2</xdr:col>
                    <xdr:colOff>0</xdr:colOff>
                    <xdr:row>76</xdr:row>
                    <xdr:rowOff>139700</xdr:rowOff>
                  </from>
                  <to>
                    <xdr:col>5</xdr:col>
                    <xdr:colOff>95250</xdr:colOff>
                    <xdr:row>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147" name="Check Box 290">
              <controlPr defaultSize="0" autoFill="0" autoLine="0" autoPict="0">
                <anchor moveWithCells="1">
                  <from>
                    <xdr:col>1</xdr:col>
                    <xdr:colOff>0</xdr:colOff>
                    <xdr:row>77</xdr:row>
                    <xdr:rowOff>133350</xdr:rowOff>
                  </from>
                  <to>
                    <xdr:col>5</xdr:col>
                    <xdr:colOff>260350</xdr:colOff>
                    <xdr:row>78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148" name="Check Box 291">
              <controlPr defaultSize="0" autoFill="0" autoLine="0" autoPict="0">
                <anchor moveWithCells="1">
                  <from>
                    <xdr:col>2</xdr:col>
                    <xdr:colOff>0</xdr:colOff>
                    <xdr:row>77</xdr:row>
                    <xdr:rowOff>133350</xdr:rowOff>
                  </from>
                  <to>
                    <xdr:col>5</xdr:col>
                    <xdr:colOff>88900</xdr:colOff>
                    <xdr:row>78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149" name="Check Box 292">
              <controlPr defaultSize="0" autoFill="0" autoLine="0" autoPict="0">
                <anchor moveWithCells="1">
                  <from>
                    <xdr:col>1</xdr:col>
                    <xdr:colOff>0</xdr:colOff>
                    <xdr:row>78</xdr:row>
                    <xdr:rowOff>133350</xdr:rowOff>
                  </from>
                  <to>
                    <xdr:col>5</xdr:col>
                    <xdr:colOff>260350</xdr:colOff>
                    <xdr:row>79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150" name="Check Box 293">
              <controlPr defaultSize="0" autoFill="0" autoLine="0" autoPict="0">
                <anchor moveWithCells="1">
                  <from>
                    <xdr:col>2</xdr:col>
                    <xdr:colOff>0</xdr:colOff>
                    <xdr:row>78</xdr:row>
                    <xdr:rowOff>133350</xdr:rowOff>
                  </from>
                  <to>
                    <xdr:col>5</xdr:col>
                    <xdr:colOff>88900</xdr:colOff>
                    <xdr:row>79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151" name="Check Box 294">
              <controlPr defaultSize="0" autoFill="0" autoLine="0" autoPict="0">
                <anchor moveWithCells="1">
                  <from>
                    <xdr:col>1</xdr:col>
                    <xdr:colOff>0</xdr:colOff>
                    <xdr:row>79</xdr:row>
                    <xdr:rowOff>133350</xdr:rowOff>
                  </from>
                  <to>
                    <xdr:col>5</xdr:col>
                    <xdr:colOff>260350</xdr:colOff>
                    <xdr:row>80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152" name="Check Box 295">
              <controlPr defaultSize="0" autoFill="0" autoLine="0" autoPict="0">
                <anchor moveWithCells="1">
                  <from>
                    <xdr:col>2</xdr:col>
                    <xdr:colOff>0</xdr:colOff>
                    <xdr:row>79</xdr:row>
                    <xdr:rowOff>133350</xdr:rowOff>
                  </from>
                  <to>
                    <xdr:col>5</xdr:col>
                    <xdr:colOff>95250</xdr:colOff>
                    <xdr:row>80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153" name="Check Box 296">
              <controlPr defaultSize="0" autoFill="0" autoLine="0" autoPict="0">
                <anchor moveWithCells="1">
                  <from>
                    <xdr:col>1</xdr:col>
                    <xdr:colOff>0</xdr:colOff>
                    <xdr:row>80</xdr:row>
                    <xdr:rowOff>133350</xdr:rowOff>
                  </from>
                  <to>
                    <xdr:col>5</xdr:col>
                    <xdr:colOff>260350</xdr:colOff>
                    <xdr:row>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154" name="Check Box 297">
              <controlPr defaultSize="0" autoFill="0" autoLine="0" autoPict="0">
                <anchor moveWithCells="1">
                  <from>
                    <xdr:col>2</xdr:col>
                    <xdr:colOff>0</xdr:colOff>
                    <xdr:row>80</xdr:row>
                    <xdr:rowOff>133350</xdr:rowOff>
                  </from>
                  <to>
                    <xdr:col>5</xdr:col>
                    <xdr:colOff>88900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155" name="Check Box 298">
              <controlPr defaultSize="0" autoFill="0" autoLine="0" autoPict="0">
                <anchor moveWithCells="1">
                  <from>
                    <xdr:col>1</xdr:col>
                    <xdr:colOff>0</xdr:colOff>
                    <xdr:row>81</xdr:row>
                    <xdr:rowOff>139700</xdr:rowOff>
                  </from>
                  <to>
                    <xdr:col>5</xdr:col>
                    <xdr:colOff>260350</xdr:colOff>
                    <xdr:row>83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156" name="Check Box 299">
              <controlPr defaultSize="0" autoFill="0" autoLine="0" autoPict="0">
                <anchor moveWithCells="1">
                  <from>
                    <xdr:col>2</xdr:col>
                    <xdr:colOff>0</xdr:colOff>
                    <xdr:row>81</xdr:row>
                    <xdr:rowOff>146050</xdr:rowOff>
                  </from>
                  <to>
                    <xdr:col>5</xdr:col>
                    <xdr:colOff>107950</xdr:colOff>
                    <xdr:row>83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157" name="Check Box 300">
              <controlPr defaultSize="0" autoFill="0" autoLine="0" autoPict="0">
                <anchor moveWithCells="1">
                  <from>
                    <xdr:col>1</xdr:col>
                    <xdr:colOff>0</xdr:colOff>
                    <xdr:row>82</xdr:row>
                    <xdr:rowOff>139700</xdr:rowOff>
                  </from>
                  <to>
                    <xdr:col>5</xdr:col>
                    <xdr:colOff>260350</xdr:colOff>
                    <xdr:row>84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158" name="Check Box 301">
              <controlPr defaultSize="0" autoFill="0" autoLine="0" autoPict="0">
                <anchor moveWithCells="1">
                  <from>
                    <xdr:col>2</xdr:col>
                    <xdr:colOff>0</xdr:colOff>
                    <xdr:row>82</xdr:row>
                    <xdr:rowOff>139700</xdr:rowOff>
                  </from>
                  <to>
                    <xdr:col>5</xdr:col>
                    <xdr:colOff>95250</xdr:colOff>
                    <xdr:row>84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159" name="Check Box 302">
              <controlPr defaultSize="0" autoFill="0" autoLine="0" autoPict="0">
                <anchor moveWithCells="1">
                  <from>
                    <xdr:col>1</xdr:col>
                    <xdr:colOff>0</xdr:colOff>
                    <xdr:row>83</xdr:row>
                    <xdr:rowOff>133350</xdr:rowOff>
                  </from>
                  <to>
                    <xdr:col>5</xdr:col>
                    <xdr:colOff>260350</xdr:colOff>
                    <xdr:row>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160" name="Check Box 303">
              <controlPr defaultSize="0" autoFill="0" autoLine="0" autoPict="0">
                <anchor moveWithCells="1">
                  <from>
                    <xdr:col>2</xdr:col>
                    <xdr:colOff>0</xdr:colOff>
                    <xdr:row>83</xdr:row>
                    <xdr:rowOff>133350</xdr:rowOff>
                  </from>
                  <to>
                    <xdr:col>5</xdr:col>
                    <xdr:colOff>88900</xdr:colOff>
                    <xdr:row>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161" name="Check Box 304">
              <controlPr defaultSize="0" autoFill="0" autoLine="0" autoPict="0">
                <anchor moveWithCells="1">
                  <from>
                    <xdr:col>1</xdr:col>
                    <xdr:colOff>0</xdr:colOff>
                    <xdr:row>84</xdr:row>
                    <xdr:rowOff>133350</xdr:rowOff>
                  </from>
                  <to>
                    <xdr:col>5</xdr:col>
                    <xdr:colOff>260350</xdr:colOff>
                    <xdr:row>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162" name="Check Box 305">
              <controlPr defaultSize="0" autoFill="0" autoLine="0" autoPict="0">
                <anchor moveWithCells="1">
                  <from>
                    <xdr:col>2</xdr:col>
                    <xdr:colOff>0</xdr:colOff>
                    <xdr:row>84</xdr:row>
                    <xdr:rowOff>133350</xdr:rowOff>
                  </from>
                  <to>
                    <xdr:col>5</xdr:col>
                    <xdr:colOff>88900</xdr:colOff>
                    <xdr:row>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163" name="Check Box 306">
              <controlPr defaultSize="0" autoFill="0" autoLine="0" autoPict="0">
                <anchor moveWithCells="1">
                  <from>
                    <xdr:col>1</xdr:col>
                    <xdr:colOff>0</xdr:colOff>
                    <xdr:row>85</xdr:row>
                    <xdr:rowOff>133350</xdr:rowOff>
                  </from>
                  <to>
                    <xdr:col>5</xdr:col>
                    <xdr:colOff>260350</xdr:colOff>
                    <xdr:row>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164" name="Check Box 307">
              <controlPr defaultSize="0" autoFill="0" autoLine="0" autoPict="0">
                <anchor moveWithCells="1">
                  <from>
                    <xdr:col>2</xdr:col>
                    <xdr:colOff>0</xdr:colOff>
                    <xdr:row>85</xdr:row>
                    <xdr:rowOff>133350</xdr:rowOff>
                  </from>
                  <to>
                    <xdr:col>5</xdr:col>
                    <xdr:colOff>95250</xdr:colOff>
                    <xdr:row>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165" name="Check Box 308">
              <controlPr defaultSize="0" autoFill="0" autoLine="0" autoPict="0">
                <anchor moveWithCells="1">
                  <from>
                    <xdr:col>1</xdr:col>
                    <xdr:colOff>0</xdr:colOff>
                    <xdr:row>86</xdr:row>
                    <xdr:rowOff>133350</xdr:rowOff>
                  </from>
                  <to>
                    <xdr:col>5</xdr:col>
                    <xdr:colOff>260350</xdr:colOff>
                    <xdr:row>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166" name="Check Box 309">
              <controlPr defaultSize="0" autoFill="0" autoLine="0" autoPict="0">
                <anchor moveWithCells="1">
                  <from>
                    <xdr:col>2</xdr:col>
                    <xdr:colOff>0</xdr:colOff>
                    <xdr:row>86</xdr:row>
                    <xdr:rowOff>133350</xdr:rowOff>
                  </from>
                  <to>
                    <xdr:col>5</xdr:col>
                    <xdr:colOff>88900</xdr:colOff>
                    <xdr:row>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167" name="Check Box 315">
              <controlPr defaultSize="0" autoFill="0" autoLine="0" autoPict="0">
                <anchor moveWithCells="1">
                  <from>
                    <xdr:col>1</xdr:col>
                    <xdr:colOff>0</xdr:colOff>
                    <xdr:row>89</xdr:row>
                    <xdr:rowOff>139700</xdr:rowOff>
                  </from>
                  <to>
                    <xdr:col>5</xdr:col>
                    <xdr:colOff>260350</xdr:colOff>
                    <xdr:row>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168" name="Check Box 316">
              <controlPr defaultSize="0" autoFill="0" autoLine="0" autoPict="0">
                <anchor moveWithCells="1">
                  <from>
                    <xdr:col>2</xdr:col>
                    <xdr:colOff>0</xdr:colOff>
                    <xdr:row>89</xdr:row>
                    <xdr:rowOff>139700</xdr:rowOff>
                  </from>
                  <to>
                    <xdr:col>5</xdr:col>
                    <xdr:colOff>95250</xdr:colOff>
                    <xdr:row>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169" name="Check Box 317">
              <controlPr defaultSize="0" autoFill="0" autoLine="0" autoPict="0">
                <anchor moveWithCells="1">
                  <from>
                    <xdr:col>1</xdr:col>
                    <xdr:colOff>0</xdr:colOff>
                    <xdr:row>90</xdr:row>
                    <xdr:rowOff>133350</xdr:rowOff>
                  </from>
                  <to>
                    <xdr:col>5</xdr:col>
                    <xdr:colOff>260350</xdr:colOff>
                    <xdr:row>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170" name="Check Box 318">
              <controlPr defaultSize="0" autoFill="0" autoLine="0" autoPict="0">
                <anchor moveWithCells="1">
                  <from>
                    <xdr:col>2</xdr:col>
                    <xdr:colOff>0</xdr:colOff>
                    <xdr:row>90</xdr:row>
                    <xdr:rowOff>133350</xdr:rowOff>
                  </from>
                  <to>
                    <xdr:col>5</xdr:col>
                    <xdr:colOff>88900</xdr:colOff>
                    <xdr:row>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171" name="Check Box 319">
              <controlPr defaultSize="0" autoFill="0" autoLine="0" autoPict="0">
                <anchor moveWithCells="1">
                  <from>
                    <xdr:col>1</xdr:col>
                    <xdr:colOff>0</xdr:colOff>
                    <xdr:row>91</xdr:row>
                    <xdr:rowOff>133350</xdr:rowOff>
                  </from>
                  <to>
                    <xdr:col>5</xdr:col>
                    <xdr:colOff>260350</xdr:colOff>
                    <xdr:row>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172" name="Check Box 320">
              <controlPr defaultSize="0" autoFill="0" autoLine="0" autoPict="0">
                <anchor moveWithCells="1">
                  <from>
                    <xdr:col>2</xdr:col>
                    <xdr:colOff>0</xdr:colOff>
                    <xdr:row>91</xdr:row>
                    <xdr:rowOff>133350</xdr:rowOff>
                  </from>
                  <to>
                    <xdr:col>5</xdr:col>
                    <xdr:colOff>88900</xdr:colOff>
                    <xdr:row>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173" name="Check Box 321">
              <controlPr defaultSize="0" autoFill="0" autoLine="0" autoPict="0">
                <anchor moveWithCells="1">
                  <from>
                    <xdr:col>1</xdr:col>
                    <xdr:colOff>0</xdr:colOff>
                    <xdr:row>92</xdr:row>
                    <xdr:rowOff>133350</xdr:rowOff>
                  </from>
                  <to>
                    <xdr:col>5</xdr:col>
                    <xdr:colOff>260350</xdr:colOff>
                    <xdr:row>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174" name="Check Box 322">
              <controlPr defaultSize="0" autoFill="0" autoLine="0" autoPict="0">
                <anchor moveWithCells="1">
                  <from>
                    <xdr:col>2</xdr:col>
                    <xdr:colOff>0</xdr:colOff>
                    <xdr:row>92</xdr:row>
                    <xdr:rowOff>133350</xdr:rowOff>
                  </from>
                  <to>
                    <xdr:col>5</xdr:col>
                    <xdr:colOff>95250</xdr:colOff>
                    <xdr:row>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175" name="Check Box 323">
              <controlPr defaultSize="0" autoFill="0" autoLine="0" autoPict="0">
                <anchor moveWithCells="1">
                  <from>
                    <xdr:col>1</xdr:col>
                    <xdr:colOff>0</xdr:colOff>
                    <xdr:row>93</xdr:row>
                    <xdr:rowOff>133350</xdr:rowOff>
                  </from>
                  <to>
                    <xdr:col>5</xdr:col>
                    <xdr:colOff>260350</xdr:colOff>
                    <xdr:row>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176" name="Check Box 324">
              <controlPr defaultSize="0" autoFill="0" autoLine="0" autoPict="0">
                <anchor moveWithCells="1">
                  <from>
                    <xdr:col>2</xdr:col>
                    <xdr:colOff>0</xdr:colOff>
                    <xdr:row>93</xdr:row>
                    <xdr:rowOff>133350</xdr:rowOff>
                  </from>
                  <to>
                    <xdr:col>5</xdr:col>
                    <xdr:colOff>88900</xdr:colOff>
                    <xdr:row>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177" name="Check Box 327">
              <controlPr defaultSize="0" autoFill="0" autoLine="0" autoPict="0">
                <anchor moveWithCells="1">
                  <from>
                    <xdr:col>1</xdr:col>
                    <xdr:colOff>0</xdr:colOff>
                    <xdr:row>88</xdr:row>
                    <xdr:rowOff>139700</xdr:rowOff>
                  </from>
                  <to>
                    <xdr:col>5</xdr:col>
                    <xdr:colOff>260350</xdr:colOff>
                    <xdr:row>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178" name="Check Box 328">
              <controlPr defaultSize="0" autoFill="0" autoLine="0" autoPict="0">
                <anchor moveWithCells="1">
                  <from>
                    <xdr:col>2</xdr:col>
                    <xdr:colOff>0</xdr:colOff>
                    <xdr:row>88</xdr:row>
                    <xdr:rowOff>139700</xdr:rowOff>
                  </from>
                  <to>
                    <xdr:col>5</xdr:col>
                    <xdr:colOff>95250</xdr:colOff>
                    <xdr:row>90</xdr:row>
                    <xdr:rowOff>12700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5" id="{579F28E0-5380-4F00-B05E-9557D2FEC9AC}">
            <xm:f>AND('SE4X Production'!$E$31&gt;=2,'SE4X Production'!$E$47&lt;1)</xm:f>
            <x14:dxf>
              <fill>
                <patternFill>
                  <bgColor rgb="FF00B050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104" id="{46CF12FF-D889-4266-A4BA-7D707FDB6854}">
            <xm:f>AND('SE4X Production'!$E$31&gt;=2,'SE4X Production'!$E$47&gt;=2)</xm:f>
            <x14:dxf>
              <fill>
                <patternFill>
                  <bgColor rgb="FF00B050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expression" priority="103" id="{1690CF2B-7677-4A75-ABE1-DBB8507CD7B8}">
            <xm:f>'SE4X Production'!$E$31&gt;=2</xm:f>
            <x14:dxf>
              <fill>
                <patternFill>
                  <bgColor rgb="FF00B050"/>
                </patternFill>
              </fill>
            </x14:dxf>
          </x14:cfRule>
          <xm:sqref>E6</xm:sqref>
        </x14:conditionalFormatting>
        <x14:conditionalFormatting xmlns:xm="http://schemas.microsoft.com/office/excel/2006/main">
          <x14:cfRule type="expression" priority="101" id="{BB109CCA-917F-4D43-92AF-E1A87EE011E5}">
            <xm:f>'SE4X Production'!$E$47&gt;=3</xm:f>
            <x14:dxf>
              <fill>
                <patternFill>
                  <bgColor rgb="FF00B050"/>
                </patternFill>
              </fill>
            </x14:dxf>
          </x14:cfRule>
          <xm:sqref>E14</xm:sqref>
        </x14:conditionalFormatting>
        <x14:conditionalFormatting xmlns:xm="http://schemas.microsoft.com/office/excel/2006/main">
          <x14:cfRule type="expression" priority="116" id="{A7D163BC-0A8C-4795-853C-41F68FA25C00}">
            <xm:f>'SE4X Production'!$E$31&gt;=2</xm:f>
            <x14:dxf>
              <fill>
                <patternFill>
                  <bgColor rgb="FF00B050"/>
                </patternFill>
              </fill>
            </x14:dxf>
          </x14:cfRule>
          <xm:sqref>E15:E20</xm:sqref>
        </x14:conditionalFormatting>
        <x14:conditionalFormatting xmlns:xm="http://schemas.microsoft.com/office/excel/2006/main">
          <x14:cfRule type="expression" priority="114" id="{64C28321-DEC3-4324-9CC6-8A190FF25704}">
            <xm:f>'SE4X Production'!$E$31&gt;=3</xm:f>
            <x14:dxf>
              <fill>
                <patternFill>
                  <bgColor rgb="FF00B050"/>
                </patternFill>
              </fill>
            </x14:dxf>
          </x14:cfRule>
          <xm:sqref>E21:E26</xm:sqref>
        </x14:conditionalFormatting>
        <x14:conditionalFormatting xmlns:xm="http://schemas.microsoft.com/office/excel/2006/main">
          <x14:cfRule type="expression" priority="113" id="{E74F3F03-E0BE-4265-B902-1C11075C6FAA}">
            <xm:f>'SE4X Production'!$E$31&gt;=4</xm:f>
            <x14:dxf>
              <fill>
                <patternFill>
                  <bgColor rgb="FF00B050"/>
                </patternFill>
              </fill>
            </x14:dxf>
          </x14:cfRule>
          <xm:sqref>E27:E32</xm:sqref>
        </x14:conditionalFormatting>
        <x14:conditionalFormatting xmlns:xm="http://schemas.microsoft.com/office/excel/2006/main">
          <x14:cfRule type="expression" priority="112" id="{3EABCE87-2B19-434D-AB1A-7B1BA3BD663D}">
            <xm:f>'SE4X Production'!$E$31&gt;=5</xm:f>
            <x14:dxf>
              <fill>
                <patternFill>
                  <bgColor rgb="FF00B050"/>
                </patternFill>
              </fill>
            </x14:dxf>
          </x14:cfRule>
          <xm:sqref>E33:E38</xm:sqref>
        </x14:conditionalFormatting>
        <x14:conditionalFormatting xmlns:xm="http://schemas.microsoft.com/office/excel/2006/main">
          <x14:cfRule type="expression" priority="110" id="{6F88EB41-F3C3-43B0-BBF0-6A77DCFBED09}">
            <xm:f>'SE4X Production'!$E$31&gt;=6</xm:f>
            <x14:dxf>
              <fill>
                <patternFill>
                  <bgColor rgb="FF00B050"/>
                </patternFill>
              </fill>
            </x14:dxf>
          </x14:cfRule>
          <xm:sqref>E39:E43</xm:sqref>
        </x14:conditionalFormatting>
        <x14:conditionalFormatting xmlns:xm="http://schemas.microsoft.com/office/excel/2006/main">
          <x14:cfRule type="expression" priority="94" id="{5BF376DD-8A80-4B03-92A2-10B949D7E624}">
            <xm:f>AND('SE4X Production'!$E$31&gt;=7,NOT('SE4X Production'!$T$31))</xm:f>
            <x14:dxf>
              <fill>
                <patternFill>
                  <bgColor rgb="FF00B050"/>
                </patternFill>
              </fill>
            </x14:dxf>
          </x14:cfRule>
          <xm:sqref>E44:E48</xm:sqref>
        </x14:conditionalFormatting>
        <x14:conditionalFormatting xmlns:xm="http://schemas.microsoft.com/office/excel/2006/main">
          <x14:cfRule type="expression" priority="83" id="{97B2DCB4-3652-4839-AC1F-720E116885F5}">
            <xm:f>'SE4X Production'!$E$41&gt;=1</xm:f>
            <x14:dxf>
              <fill>
                <patternFill>
                  <bgColor rgb="FF00B050"/>
                </patternFill>
              </fill>
            </x14:dxf>
          </x14:cfRule>
          <xm:sqref>E49:E54</xm:sqref>
        </x14:conditionalFormatting>
        <x14:conditionalFormatting xmlns:xm="http://schemas.microsoft.com/office/excel/2006/main">
          <x14:cfRule type="expression" priority="76" id="{D51DE4A0-CE70-4589-A7D3-23185BFA13B5}">
            <xm:f>'SE4X Production'!$E$36&gt;=1</xm:f>
            <x14:dxf>
              <fill>
                <patternFill>
                  <bgColor rgb="FF00B050"/>
                </patternFill>
              </fill>
            </x14:dxf>
          </x14:cfRule>
          <xm:sqref>E55:E64</xm:sqref>
        </x14:conditionalFormatting>
        <x14:conditionalFormatting xmlns:xm="http://schemas.microsoft.com/office/excel/2006/main">
          <x14:cfRule type="expression" priority="56" id="{394C611D-9015-4E78-BCAA-D52014575ACF}">
            <xm:f>'SE4X Production'!$E$36&gt;=1</xm:f>
            <x14:dxf>
              <fill>
                <patternFill>
                  <bgColor rgb="FF00B050"/>
                </patternFill>
              </fill>
            </x14:dxf>
          </x14:cfRule>
          <xm:sqref>E65:E70</xm:sqref>
        </x14:conditionalFormatting>
        <x14:conditionalFormatting xmlns:xm="http://schemas.microsoft.com/office/excel/2006/main">
          <x14:cfRule type="expression" priority="50" id="{C583A942-9A53-4E8B-A284-D87EFFC1E52C}">
            <xm:f>'SE4X Production'!$E$47&gt;=3</xm:f>
            <x14:dxf>
              <font>
                <color theme="0"/>
              </font>
              <fill>
                <patternFill>
                  <bgColor theme="4"/>
                </patternFill>
              </fill>
            </x14:dxf>
          </x14:cfRule>
          <xm:sqref>P7</xm:sqref>
        </x14:conditionalFormatting>
        <x14:conditionalFormatting xmlns:xm="http://schemas.microsoft.com/office/excel/2006/main">
          <x14:cfRule type="expression" priority="43" id="{00B0202C-A3EC-4C6A-8250-6436978F953B}">
            <xm:f>'SE4X Production'!$E$47&gt;=2</xm:f>
            <x14:dxf>
              <fill>
                <patternFill>
                  <bgColor rgb="FF00B050"/>
                </patternFill>
              </fill>
            </x14:dxf>
          </x14:cfRule>
          <xm:sqref>E71:E76</xm:sqref>
        </x14:conditionalFormatting>
        <x14:conditionalFormatting xmlns:xm="http://schemas.microsoft.com/office/excel/2006/main">
          <x14:cfRule type="expression" priority="41" id="{3D6F1C04-00D3-459E-A4F4-7B281B5B7478}">
            <xm:f>'SE4X Production'!$E$44&gt;=1</xm:f>
            <x14:dxf>
              <fill>
                <patternFill>
                  <bgColor rgb="FF00B050"/>
                </patternFill>
              </fill>
            </x14:dxf>
          </x14:cfRule>
          <xm:sqref>E77:E82</xm:sqref>
        </x14:conditionalFormatting>
        <x14:conditionalFormatting xmlns:xm="http://schemas.microsoft.com/office/excel/2006/main">
          <x14:cfRule type="expression" priority="29" id="{95911768-64C5-484E-93C3-36513854F71A}">
            <xm:f>'SE4X Production'!$E$47&gt;=2</xm:f>
            <x14:dxf>
              <fill>
                <patternFill>
                  <bgColor rgb="FF00B050"/>
                </patternFill>
              </fill>
            </x14:dxf>
          </x14:cfRule>
          <xm:sqref>E83:E88</xm:sqref>
        </x14:conditionalFormatting>
        <x14:conditionalFormatting xmlns:xm="http://schemas.microsoft.com/office/excel/2006/main">
          <x14:cfRule type="expression" priority="28" id="{C63581E8-9028-4468-8D1D-91D9EC20F345}">
            <xm:f>'SE4X Production'!$T$31</xm:f>
            <x14:dxf>
              <font>
                <color theme="2"/>
              </font>
            </x14:dxf>
          </x14:cfRule>
          <xm:sqref>F44:Q48</xm:sqref>
        </x14:conditionalFormatting>
        <x14:conditionalFormatting xmlns:xm="http://schemas.microsoft.com/office/excel/2006/main">
          <x14:cfRule type="expression" priority="22" id="{BBD25CF6-7721-48A8-A0A6-CE05AEEBA91F}">
            <xm:f>AND('SE4X Production'!$T$31,'SE4X Production'!$E$31&gt;=4)</xm:f>
            <x14:dxf>
              <fill>
                <patternFill>
                  <bgColor theme="4"/>
                </patternFill>
              </fill>
            </x14:dxf>
          </x14:cfRule>
          <xm:sqref>P27</xm:sqref>
        </x14:conditionalFormatting>
        <x14:conditionalFormatting xmlns:xm="http://schemas.microsoft.com/office/excel/2006/main">
          <x14:cfRule type="expression" priority="21" id="{8FBC885C-C425-4A04-8FFB-41744338EF7F}">
            <xm:f>AND('SE4X Production'!$T$31,'SE4X Production'!$E$47&gt;=1)</xm:f>
            <x14:dxf>
              <fill>
                <patternFill>
                  <bgColor theme="4"/>
                </patternFill>
              </fill>
            </x14:dxf>
          </x14:cfRule>
          <xm:sqref>P33:P43</xm:sqref>
        </x14:conditionalFormatting>
        <x14:conditionalFormatting xmlns:xm="http://schemas.microsoft.com/office/excel/2006/main">
          <x14:cfRule type="expression" priority="20" id="{15805982-F0AE-4414-9BEA-A37E0C3B3843}">
            <xm:f>'SE4X Production'!$T$31</xm:f>
            <x14:dxf>
              <font>
                <color theme="2"/>
              </font>
            </x14:dxf>
          </x14:cfRule>
          <xm:sqref>L27:M43</xm:sqref>
        </x14:conditionalFormatting>
        <x14:conditionalFormatting xmlns:xm="http://schemas.microsoft.com/office/excel/2006/main">
          <x14:cfRule type="expression" priority="17" id="{7CC72E8A-4155-434D-949B-7148214395BD}">
            <xm:f>'SE4X Production'!$E$36&gt;=1</xm:f>
            <x14:dxf>
              <fill>
                <patternFill>
                  <bgColor rgb="FF00B050"/>
                </patternFill>
              </fill>
            </x14:dxf>
          </x14:cfRule>
          <xm:sqref>E90:E95</xm:sqref>
        </x14:conditionalFormatting>
        <x14:conditionalFormatting xmlns:xm="http://schemas.microsoft.com/office/excel/2006/main">
          <x14:cfRule type="expression" priority="11" id="{90E68C4E-5D57-422E-856B-E3A558571BF6}">
            <xm:f>'SE4X Production'!$E$46&gt;=2</xm:f>
            <x14:dxf>
              <fill>
                <patternFill>
                  <bgColor rgb="FF00B050"/>
                </patternFill>
              </fill>
            </x14:dxf>
          </x14:cfRule>
          <xm:sqref>E97:E98</xm:sqref>
        </x14:conditionalFormatting>
        <x14:conditionalFormatting xmlns:xm="http://schemas.microsoft.com/office/excel/2006/main">
          <x14:cfRule type="expression" priority="10" id="{40610BB0-671E-4320-90CE-3D09773FD8C9}">
            <xm:f>'SE4X Production'!$E$46&gt;=3</xm:f>
            <x14:dxf>
              <fill>
                <patternFill>
                  <bgColor rgb="FF00B050"/>
                </patternFill>
              </fill>
            </x14:dxf>
          </x14:cfRule>
          <xm:sqref>E99</xm:sqref>
        </x14:conditionalFormatting>
        <x14:conditionalFormatting xmlns:xm="http://schemas.microsoft.com/office/excel/2006/main">
          <x14:cfRule type="expression" priority="9" id="{4938468D-98CD-4916-98E8-80B64F8E0FCC}">
            <xm:f>AND('SE4X Production'!$E$46&gt;=3,'SE4X Production'!$E$47&gt;=2)</xm:f>
            <x14:dxf>
              <fill>
                <patternFill>
                  <bgColor rgb="FF00B050"/>
                </patternFill>
              </fill>
            </x14:dxf>
          </x14:cfRule>
          <xm:sqref>E100</xm:sqref>
        </x14:conditionalFormatting>
        <x14:conditionalFormatting xmlns:xm="http://schemas.microsoft.com/office/excel/2006/main">
          <x14:cfRule type="expression" priority="7" id="{ACCCE51C-F380-44F4-BA1F-BA1D2C8C1202}">
            <xm:f>'SE4X Production'!$E$47&gt;=2</xm:f>
            <x14:dxf>
              <fill>
                <patternFill>
                  <bgColor rgb="FF00B050"/>
                </patternFill>
              </fill>
            </x14:dxf>
          </x14:cfRule>
          <xm:sqref>E89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SE4X Production</vt:lpstr>
      <vt:lpstr>Ship Technology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Schlette</dc:creator>
  <cp:lastModifiedBy>Christian Schlette</cp:lastModifiedBy>
  <dcterms:created xsi:type="dcterms:W3CDTF">2026-02-05T19:59:04Z</dcterms:created>
  <dcterms:modified xsi:type="dcterms:W3CDTF">2026-03-15T10:25:19Z</dcterms:modified>
</cp:coreProperties>
</file>