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sch\Downloads\_Private\"/>
    </mc:Choice>
  </mc:AlternateContent>
  <xr:revisionPtr revIDLastSave="0" documentId="13_ncr:1_{B117AEC1-8391-4A46-B5A0-DB100B067F69}" xr6:coauthVersionLast="47" xr6:coauthVersionMax="47" xr10:uidLastSave="{00000000-0000-0000-0000-000000000000}"/>
  <bookViews>
    <workbookView xWindow="-3255" yWindow="-21720" windowWidth="38640" windowHeight="21120" tabRatio="256" xr2:uid="{E6A42863-018E-4104-BB60-8ED07576F792}"/>
  </bookViews>
  <sheets>
    <sheet name="SE4X Production" sheetId="1" r:id="rId1"/>
    <sheet name="Ship Technology" sheetId="2" r:id="rId2"/>
  </sheets>
  <definedNames>
    <definedName name="Tech1">#REF!</definedName>
    <definedName name="Tech2">#REF!</definedName>
    <definedName name="Tech3">#REF!</definedName>
    <definedName name="Tech4">#REF!</definedName>
    <definedName name="Tech5">#REF!</definedName>
    <definedName name="Tech6">#REF!</definedName>
    <definedName name="Tech7">#REF!</definedName>
    <definedName name="Tech8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G3" i="2"/>
  <c r="L3" i="2"/>
  <c r="I3" i="2"/>
  <c r="I4" i="2"/>
  <c r="H4" i="2"/>
  <c r="G4" i="2"/>
  <c r="V26" i="2"/>
  <c r="V27" i="2"/>
  <c r="V28" i="2"/>
  <c r="V29" i="2"/>
  <c r="V25" i="2"/>
  <c r="V30" i="2"/>
  <c r="V20" i="2"/>
  <c r="V21" i="2"/>
  <c r="V22" i="2"/>
  <c r="V23" i="2"/>
  <c r="V24" i="2"/>
  <c r="V19" i="2"/>
  <c r="V6" i="2"/>
  <c r="V7" i="2"/>
  <c r="V8" i="2"/>
  <c r="J36" i="2"/>
  <c r="J37" i="2"/>
  <c r="J38" i="2"/>
  <c r="J39" i="2"/>
  <c r="J35" i="2"/>
  <c r="J30" i="2"/>
  <c r="J31" i="2"/>
  <c r="J32" i="2"/>
  <c r="J33" i="2"/>
  <c r="J34" i="2"/>
  <c r="J29" i="2"/>
  <c r="J24" i="2"/>
  <c r="J25" i="2"/>
  <c r="J26" i="2"/>
  <c r="J27" i="2"/>
  <c r="J28" i="2"/>
  <c r="J23" i="2"/>
  <c r="J18" i="2"/>
  <c r="J19" i="2"/>
  <c r="J20" i="2"/>
  <c r="J21" i="2"/>
  <c r="J22" i="2"/>
  <c r="J17" i="2"/>
  <c r="J12" i="2"/>
  <c r="J13" i="2"/>
  <c r="J14" i="2"/>
  <c r="J15" i="2"/>
  <c r="J16" i="2"/>
  <c r="J11" i="2"/>
  <c r="J6" i="2"/>
  <c r="E8" i="1"/>
  <c r="G8" i="1" s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C7" i="1"/>
  <c r="C10" i="1" s="1"/>
  <c r="C25" i="1" s="1"/>
  <c r="E3" i="1" s="1"/>
  <c r="E7" i="1" s="1"/>
  <c r="E10" i="1" s="1"/>
  <c r="E25" i="1" s="1"/>
  <c r="G3" i="1" s="1"/>
  <c r="G7" i="1" s="1"/>
  <c r="G10" i="1" s="1"/>
  <c r="G25" i="1" s="1"/>
  <c r="I3" i="1" s="1"/>
  <c r="I7" i="1" s="1"/>
  <c r="I10" i="1" s="1"/>
  <c r="I25" i="1" s="1"/>
  <c r="K3" i="1" s="1"/>
  <c r="K7" i="1" s="1"/>
  <c r="K10" i="1" s="1"/>
  <c r="K25" i="1" s="1"/>
  <c r="M3" i="1" s="1"/>
  <c r="M7" i="1" s="1"/>
  <c r="M10" i="1" s="1"/>
  <c r="M25" i="1" s="1"/>
  <c r="O3" i="1" s="1"/>
  <c r="O7" i="1" s="1"/>
  <c r="O10" i="1" l="1"/>
  <c r="O25" i="1" s="1"/>
  <c r="Q3" i="1" s="1"/>
  <c r="Q7" i="1" s="1"/>
  <c r="Q10" i="1" s="1"/>
  <c r="Q25" i="1" s="1"/>
  <c r="S3" i="1" s="1"/>
  <c r="S7" i="1" s="1"/>
  <c r="S10" i="1" s="1"/>
  <c r="S25" i="1" s="1"/>
  <c r="U3" i="1" s="1"/>
  <c r="U7" i="1" s="1"/>
  <c r="U10" i="1" s="1"/>
  <c r="U25" i="1" s="1"/>
  <c r="W3" i="1" s="1"/>
  <c r="W7" i="1" s="1"/>
  <c r="W10" i="1" s="1"/>
  <c r="W25" i="1" s="1"/>
  <c r="Y3" i="1" s="1"/>
  <c r="Y7" i="1" s="1"/>
  <c r="Y10" i="1" s="1"/>
  <c r="Y25" i="1" s="1"/>
  <c r="AA3" i="1" s="1"/>
  <c r="AA7" i="1" s="1"/>
  <c r="AA10" i="1" s="1"/>
  <c r="AA25" i="1" s="1"/>
  <c r="AC3" i="1" s="1"/>
  <c r="AC7" i="1" s="1"/>
  <c r="AC10" i="1" s="1"/>
  <c r="AC25" i="1" s="1"/>
  <c r="AE3" i="1" s="1"/>
  <c r="AE7" i="1" s="1"/>
  <c r="AE10" i="1" s="1"/>
  <c r="AE25" i="1" s="1"/>
  <c r="AG3" i="1" s="1"/>
  <c r="AG7" i="1" s="1"/>
  <c r="AG10" i="1" s="1"/>
  <c r="AG25" i="1" s="1"/>
  <c r="AI3" i="1" s="1"/>
  <c r="AI7" i="1" s="1"/>
  <c r="AI10" i="1" s="1"/>
  <c r="AI25" i="1" s="1"/>
  <c r="AK3" i="1" s="1"/>
  <c r="AK7" i="1" s="1"/>
  <c r="AK10" i="1" s="1"/>
  <c r="AK25" i="1" s="1"/>
  <c r="AM3" i="1" s="1"/>
  <c r="AM7" i="1" s="1"/>
  <c r="AM10" i="1" s="1"/>
  <c r="AM25" i="1" s="1"/>
  <c r="AO3" i="1" s="1"/>
  <c r="AO7" i="1" s="1"/>
  <c r="AO10" i="1" s="1"/>
  <c r="AO25" i="1" s="1"/>
  <c r="X10" i="2" l="1"/>
  <c r="X11" i="2"/>
  <c r="X12" i="2"/>
  <c r="X13" i="2"/>
  <c r="X14" i="2"/>
  <c r="X15" i="2"/>
  <c r="X16" i="2"/>
  <c r="X17" i="2"/>
  <c r="X18" i="2"/>
  <c r="T10" i="2"/>
  <c r="T11" i="2"/>
  <c r="T12" i="2"/>
  <c r="T13" i="2"/>
  <c r="T14" i="2"/>
  <c r="T15" i="2"/>
  <c r="T16" i="2"/>
  <c r="T17" i="2"/>
  <c r="T18" i="2"/>
  <c r="S10" i="2"/>
  <c r="S11" i="2"/>
  <c r="S12" i="2"/>
  <c r="S13" i="2"/>
  <c r="S14" i="2"/>
  <c r="S15" i="2"/>
  <c r="S16" i="2"/>
  <c r="S17" i="2"/>
  <c r="S18" i="2"/>
  <c r="U10" i="2"/>
  <c r="U11" i="2"/>
  <c r="U12" i="2"/>
  <c r="U13" i="2"/>
  <c r="U14" i="2"/>
  <c r="U15" i="2"/>
  <c r="U16" i="2"/>
  <c r="U17" i="2"/>
  <c r="U18" i="2"/>
  <c r="X26" i="2"/>
  <c r="X27" i="2"/>
  <c r="X28" i="2"/>
  <c r="X29" i="2"/>
  <c r="X30" i="2"/>
  <c r="X25" i="2"/>
  <c r="X6" i="2"/>
  <c r="X7" i="2"/>
  <c r="X8" i="2"/>
  <c r="U25" i="2"/>
  <c r="U26" i="2"/>
  <c r="U27" i="2"/>
  <c r="U28" i="2"/>
  <c r="U29" i="2"/>
  <c r="U30" i="2"/>
  <c r="T25" i="2"/>
  <c r="T26" i="2"/>
  <c r="T27" i="2"/>
  <c r="T28" i="2"/>
  <c r="T29" i="2"/>
  <c r="T30" i="2"/>
  <c r="S25" i="2"/>
  <c r="S26" i="2"/>
  <c r="S27" i="2"/>
  <c r="S28" i="2"/>
  <c r="S29" i="2"/>
  <c r="S30" i="2"/>
  <c r="U20" i="2"/>
  <c r="U21" i="2"/>
  <c r="U22" i="2"/>
  <c r="U23" i="2"/>
  <c r="U24" i="2"/>
  <c r="T20" i="2"/>
  <c r="T21" i="2"/>
  <c r="T22" i="2"/>
  <c r="T23" i="2"/>
  <c r="T24" i="2"/>
  <c r="T19" i="2"/>
  <c r="U19" i="2"/>
  <c r="S20" i="2"/>
  <c r="S21" i="2"/>
  <c r="S22" i="2"/>
  <c r="S23" i="2"/>
  <c r="S24" i="2"/>
  <c r="S19" i="2"/>
  <c r="U6" i="2"/>
  <c r="U7" i="2"/>
  <c r="U8" i="2"/>
  <c r="T6" i="2"/>
  <c r="T7" i="2"/>
  <c r="T8" i="2"/>
  <c r="S6" i="2"/>
  <c r="S7" i="2"/>
  <c r="S8" i="2"/>
  <c r="I35" i="2"/>
  <c r="I36" i="2"/>
  <c r="I37" i="2"/>
  <c r="I38" i="2"/>
  <c r="I39" i="2"/>
  <c r="H35" i="2"/>
  <c r="H36" i="2"/>
  <c r="H37" i="2"/>
  <c r="H38" i="2"/>
  <c r="H39" i="2"/>
  <c r="G35" i="2"/>
  <c r="G36" i="2"/>
  <c r="G37" i="2"/>
  <c r="G38" i="2"/>
  <c r="G39" i="2"/>
  <c r="I29" i="2"/>
  <c r="I30" i="2"/>
  <c r="I31" i="2"/>
  <c r="I32" i="2"/>
  <c r="I33" i="2"/>
  <c r="I34" i="2"/>
  <c r="H30" i="2"/>
  <c r="H31" i="2"/>
  <c r="H32" i="2"/>
  <c r="H33" i="2"/>
  <c r="H34" i="2"/>
  <c r="H29" i="2"/>
  <c r="G30" i="2"/>
  <c r="G31" i="2"/>
  <c r="G32" i="2"/>
  <c r="G33" i="2"/>
  <c r="G34" i="2"/>
  <c r="G29" i="2"/>
  <c r="L6" i="2"/>
  <c r="I6" i="2" l="1"/>
  <c r="H6" i="2"/>
  <c r="G6" i="2"/>
  <c r="G14" i="2"/>
  <c r="H14" i="2"/>
  <c r="I14" i="2"/>
  <c r="L14" i="2"/>
  <c r="G22" i="2"/>
  <c r="H22" i="2"/>
  <c r="I22" i="2"/>
  <c r="L22" i="2"/>
  <c r="G26" i="2"/>
  <c r="H26" i="2"/>
  <c r="I26" i="2"/>
  <c r="G28" i="2"/>
  <c r="H28" i="2"/>
  <c r="I28" i="2"/>
  <c r="G27" i="2"/>
  <c r="H27" i="2"/>
  <c r="I27" i="2"/>
  <c r="G24" i="2"/>
  <c r="H24" i="2"/>
  <c r="I24" i="2"/>
  <c r="G21" i="2"/>
  <c r="H21" i="2"/>
  <c r="I21" i="2"/>
  <c r="L21" i="2"/>
  <c r="G19" i="2"/>
  <c r="H19" i="2"/>
  <c r="I19" i="2"/>
  <c r="L19" i="2"/>
  <c r="G17" i="2"/>
  <c r="H17" i="2"/>
  <c r="I17" i="2"/>
  <c r="L17" i="2"/>
  <c r="G15" i="2"/>
  <c r="H15" i="2"/>
  <c r="I15" i="2"/>
  <c r="L15" i="2"/>
  <c r="G13" i="2"/>
  <c r="H13" i="2"/>
  <c r="I13" i="2"/>
  <c r="L13" i="2"/>
  <c r="G12" i="2"/>
  <c r="H12" i="2"/>
  <c r="I12" i="2"/>
  <c r="L12" i="2"/>
  <c r="G20" i="2"/>
  <c r="H20" i="2"/>
  <c r="I20" i="2"/>
  <c r="L20" i="2"/>
  <c r="G18" i="2"/>
  <c r="H18" i="2"/>
  <c r="I18" i="2"/>
  <c r="L18" i="2"/>
  <c r="G25" i="2"/>
  <c r="H25" i="2"/>
  <c r="I25" i="2"/>
  <c r="G16" i="2"/>
  <c r="H16" i="2"/>
  <c r="I16" i="2"/>
  <c r="L16" i="2"/>
  <c r="G23" i="2"/>
  <c r="H23" i="2"/>
  <c r="I23" i="2"/>
  <c r="G5" i="2"/>
  <c r="H5" i="2"/>
  <c r="I5" i="2"/>
  <c r="J5" i="2"/>
  <c r="L5" i="2"/>
  <c r="G10" i="2"/>
  <c r="H10" i="2"/>
  <c r="I10" i="2"/>
  <c r="J10" i="2"/>
  <c r="L10" i="2"/>
  <c r="G9" i="2"/>
  <c r="H9" i="2"/>
  <c r="I9" i="2"/>
  <c r="J9" i="2"/>
  <c r="L9" i="2"/>
  <c r="G8" i="2"/>
  <c r="H8" i="2"/>
  <c r="I8" i="2"/>
  <c r="J8" i="2"/>
  <c r="L8" i="2"/>
  <c r="G7" i="2"/>
  <c r="H7" i="2"/>
  <c r="I7" i="2"/>
  <c r="J7" i="2"/>
  <c r="L7" i="2"/>
  <c r="G11" i="2"/>
  <c r="H11" i="2"/>
  <c r="I11" i="2"/>
  <c r="L11" i="2"/>
  <c r="S9" i="2"/>
  <c r="T9" i="2"/>
  <c r="U9" i="2"/>
  <c r="X9" i="2"/>
  <c r="S5" i="2"/>
  <c r="T5" i="2"/>
  <c r="U5" i="2"/>
  <c r="V5" i="2"/>
  <c r="X5" i="2"/>
  <c r="S3" i="2" l="1"/>
  <c r="T3" i="2"/>
  <c r="U3" i="2"/>
  <c r="V3" i="2"/>
  <c r="X3" i="2"/>
  <c r="S4" i="2"/>
  <c r="T4" i="2"/>
  <c r="U4" i="2"/>
  <c r="V4" i="2"/>
  <c r="X4" i="2"/>
</calcChain>
</file>

<file path=xl/sharedStrings.xml><?xml version="1.0" encoding="utf-8"?>
<sst xmlns="http://schemas.openxmlformats.org/spreadsheetml/2006/main" count="192" uniqueCount="135">
  <si>
    <t xml:space="preserve"> Economic Phase</t>
  </si>
  <si>
    <t xml:space="preserve">- Maintenance </t>
  </si>
  <si>
    <t xml:space="preserve">- Turn order bid </t>
  </si>
  <si>
    <t xml:space="preserve"> Subtotal</t>
  </si>
  <si>
    <t xml:space="preserve">-Technology Spending </t>
  </si>
  <si>
    <t xml:space="preserve">- Ship Spending </t>
  </si>
  <si>
    <t xml:space="preserve"> Remaining CP</t>
  </si>
  <si>
    <t xml:space="preserve">Maintenance Inc (buys) </t>
  </si>
  <si>
    <t xml:space="preserve">Maintenance Dec (losses) </t>
  </si>
  <si>
    <t>Technology</t>
  </si>
  <si>
    <t xml:space="preserve"> Ship Size</t>
  </si>
  <si>
    <t>Advanced Technologies</t>
  </si>
  <si>
    <t xml:space="preserve"> Attack</t>
  </si>
  <si>
    <t xml:space="preserve"> Defense</t>
  </si>
  <si>
    <t xml:space="preserve"> Fighters</t>
  </si>
  <si>
    <t xml:space="preserve"> Tactics</t>
  </si>
  <si>
    <t xml:space="preserve"> Point Defense</t>
  </si>
  <si>
    <t xml:space="preserve"> Move</t>
  </si>
  <si>
    <t xml:space="preserve"> Cloaking</t>
  </si>
  <si>
    <t xml:space="preserve"> Scanners</t>
  </si>
  <si>
    <t xml:space="preserve"> Terraforming</t>
  </si>
  <si>
    <t xml:space="preserve"> Mines</t>
  </si>
  <si>
    <t xml:space="preserve"> Exploration</t>
  </si>
  <si>
    <t>Ship Technology Sheet</t>
  </si>
  <si>
    <t>Advanced Ship Technology</t>
  </si>
  <si>
    <t>Attack</t>
  </si>
  <si>
    <t>Defense</t>
  </si>
  <si>
    <t>Tactics</t>
  </si>
  <si>
    <t>Move</t>
  </si>
  <si>
    <t>Other</t>
  </si>
  <si>
    <t xml:space="preserve"> Fighter #1</t>
  </si>
  <si>
    <t xml:space="preserve"> Fighter #2</t>
  </si>
  <si>
    <t xml:space="preserve"> Fighter #3</t>
  </si>
  <si>
    <t xml:space="preserve"> Fighter #4</t>
  </si>
  <si>
    <t xml:space="preserve"> Fighter #5</t>
  </si>
  <si>
    <t xml:space="preserve"> DD #1</t>
  </si>
  <si>
    <t xml:space="preserve"> Fighter #6</t>
  </si>
  <si>
    <t xml:space="preserve"> DD #2</t>
  </si>
  <si>
    <t xml:space="preserve"> Fighter #7</t>
  </si>
  <si>
    <t xml:space="preserve"> DD #3</t>
  </si>
  <si>
    <t xml:space="preserve"> Fighter #8</t>
  </si>
  <si>
    <t xml:space="preserve"> DD #4</t>
  </si>
  <si>
    <t xml:space="preserve"> CV #1</t>
  </si>
  <si>
    <t xml:space="preserve"> CA #1</t>
  </si>
  <si>
    <t xml:space="preserve"> CV #2</t>
  </si>
  <si>
    <t xml:space="preserve"> CA #2</t>
  </si>
  <si>
    <t xml:space="preserve"> CV #3</t>
  </si>
  <si>
    <t xml:space="preserve"> CA #3</t>
  </si>
  <si>
    <t xml:space="preserve"> CV #4</t>
  </si>
  <si>
    <t xml:space="preserve"> CA #4</t>
  </si>
  <si>
    <t xml:space="preserve"> Raider #1</t>
  </si>
  <si>
    <t xml:space="preserve"> BC #1</t>
  </si>
  <si>
    <t xml:space="preserve"> Raider #2</t>
  </si>
  <si>
    <t xml:space="preserve"> BC #2</t>
  </si>
  <si>
    <t xml:space="preserve"> Raider #3</t>
  </si>
  <si>
    <t xml:space="preserve"> BC #3</t>
  </si>
  <si>
    <t xml:space="preserve"> Raider #4</t>
  </si>
  <si>
    <t xml:space="preserve"> BC #4</t>
  </si>
  <si>
    <t xml:space="preserve"> SW #1</t>
  </si>
  <si>
    <t xml:space="preserve"> Mine Sweep</t>
  </si>
  <si>
    <t xml:space="preserve"> BB #1</t>
  </si>
  <si>
    <t xml:space="preserve"> SW #2</t>
  </si>
  <si>
    <t xml:space="preserve"> BB #2</t>
  </si>
  <si>
    <t xml:space="preserve"> SW #3</t>
  </si>
  <si>
    <t xml:space="preserve"> BB #3</t>
  </si>
  <si>
    <t xml:space="preserve"> BB #4</t>
  </si>
  <si>
    <t xml:space="preserve"> DN #1</t>
  </si>
  <si>
    <t xml:space="preserve"> DN #2</t>
  </si>
  <si>
    <t xml:space="preserve"> Total CP</t>
  </si>
  <si>
    <t xml:space="preserve">- CP spent on upgrades </t>
  </si>
  <si>
    <t>Space Empires Production Sheet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</si>
  <si>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</si>
  <si>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</si>
  <si>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</si>
  <si>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</si>
  <si>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</si>
  <si>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</si>
  <si>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</si>
  <si>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</si>
  <si>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</si>
  <si>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</si>
  <si>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>1</t>
    </r>
    <r>
      <rPr>
        <b/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</si>
  <si>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</si>
  <si>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 xml:space="preserve">1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</si>
  <si>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</si>
  <si>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t xml:space="preserve"> SC #1</t>
  </si>
  <si>
    <t xml:space="preserve"> SC #2</t>
  </si>
  <si>
    <t xml:space="preserve"> SC #3</t>
  </si>
  <si>
    <t xml:space="preserve"> SC #4</t>
  </si>
  <si>
    <t xml:space="preserve"> SC #5</t>
  </si>
  <si>
    <t>Group</t>
  </si>
  <si>
    <t>Start</t>
  </si>
  <si>
    <t xml:space="preserve">Current </t>
  </si>
  <si>
    <r>
      <t xml:space="preserve">Level CP </t>
    </r>
    <r>
      <rPr>
        <sz val="12"/>
        <rFont val="Arial"/>
        <family val="2"/>
      </rPr>
      <t>(</t>
    </r>
    <r>
      <rPr>
        <i/>
        <sz val="12"/>
        <rFont val="Arial"/>
        <family val="2"/>
      </rPr>
      <t>Cost</t>
    </r>
    <r>
      <rPr>
        <sz val="12"/>
        <rFont val="Arial"/>
        <family val="2"/>
      </rPr>
      <t>)</t>
    </r>
  </si>
  <si>
    <t xml:space="preserve"> SY</t>
  </si>
  <si>
    <t xml:space="preserve"> Ship Yard</t>
  </si>
  <si>
    <t xml:space="preserve"> Base</t>
  </si>
  <si>
    <t xml:space="preserve"> SC #6</t>
  </si>
  <si>
    <t xml:space="preserve"> DD #5</t>
  </si>
  <si>
    <t xml:space="preserve"> DD #6</t>
  </si>
  <si>
    <t xml:space="preserve"> CA #5</t>
  </si>
  <si>
    <t xml:space="preserve"> CA #6</t>
  </si>
  <si>
    <t xml:space="preserve"> BB #5</t>
  </si>
  <si>
    <t xml:space="preserve"> BB #6</t>
  </si>
  <si>
    <t xml:space="preserve"> DN #3</t>
  </si>
  <si>
    <t xml:space="preserve"> DN #4</t>
  </si>
  <si>
    <t xml:space="preserve"> DN #5</t>
  </si>
  <si>
    <t xml:space="preserve"> Fighter #9</t>
  </si>
  <si>
    <t xml:space="preserve"> Fighter #10</t>
  </si>
  <si>
    <t xml:space="preserve"> SW #4</t>
  </si>
  <si>
    <t xml:space="preserve"> SW #5</t>
  </si>
  <si>
    <t xml:space="preserve"> SW #6</t>
  </si>
  <si>
    <t xml:space="preserve"> Raider #5</t>
  </si>
  <si>
    <t xml:space="preserve"> Raider #6</t>
  </si>
  <si>
    <t xml:space="preserve"> CV #5</t>
  </si>
  <si>
    <t xml:space="preserve"> CV #6</t>
  </si>
  <si>
    <t xml:space="preserve"> BC #5</t>
  </si>
  <si>
    <t xml:space="preserve"> BC #6</t>
  </si>
  <si>
    <t xml:space="preserve">Carry over (max 30) </t>
  </si>
  <si>
    <t xml:space="preserve">+ Colony CP </t>
  </si>
  <si>
    <t xml:space="preserve">+ Mineral CP </t>
  </si>
  <si>
    <t xml:space="preserve">+ MS Pipeline CP 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</si>
  <si>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</si>
  <si>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</si>
  <si>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 xml:space="preserve">3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</si>
  <si>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</si>
  <si>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</si>
  <si>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</si>
  <si>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rPr>
        <b/>
        <sz val="10"/>
        <rFont val="Arial"/>
        <family val="2"/>
      </rPr>
      <t>7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</si>
  <si>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2</t>
    </r>
    <r>
      <rPr>
        <i/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</si>
  <si>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25</t>
    </r>
    <r>
      <rPr>
        <sz val="9"/>
        <rFont val="Arial"/>
        <family val="2"/>
      </rPr>
      <t>)</t>
    </r>
  </si>
  <si>
    <r>
      <t>3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</si>
  <si>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30</t>
    </r>
    <r>
      <rPr>
        <sz val="9"/>
        <rFont val="Arial"/>
        <family val="2"/>
      </rPr>
      <t>)</t>
    </r>
  </si>
  <si>
    <r>
      <t xml:space="preserve">2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20</t>
    </r>
    <r>
      <rPr>
        <sz val="9"/>
        <rFont val="Arial"/>
        <family val="2"/>
      </rPr>
      <t>)</t>
    </r>
  </si>
  <si>
    <r>
      <t>2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15</t>
    </r>
    <r>
      <rPr>
        <sz val="9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</si>
</sst>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;[Red]\-0\ "/>
  </numFmts>
  <fonts count="23" x14ac:knownFonts="1"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sz val="10.5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0.5"/>
      <color theme="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27"/>
      </patternFill>
    </fill>
    <fill>
      <patternFill patternType="solid">
        <fgColor theme="2"/>
        <bgColor indexed="27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43"/>
      </patternFill>
    </fill>
    <fill>
      <patternFill patternType="solid">
        <fgColor theme="0" tint="-0.249977111117893"/>
        <bgColor indexed="43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theme="1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theme="1"/>
      </bottom>
      <diagonal/>
    </border>
    <border>
      <left/>
      <right style="medium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medium">
        <color indexed="8"/>
      </right>
      <top style="medium">
        <color theme="1"/>
      </top>
      <bottom style="thin">
        <color indexed="8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6" xfId="0" applyBorder="1"/>
    <xf numFmtId="0" fontId="0" fillId="0" borderId="15" xfId="0" applyBorder="1"/>
    <xf numFmtId="0" fontId="0" fillId="0" borderId="14" xfId="0" applyBorder="1" applyAlignment="1">
      <alignment horizontal="right"/>
    </xf>
    <xf numFmtId="0" fontId="4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/>
    <xf numFmtId="0" fontId="2" fillId="0" borderId="8" xfId="0" applyFont="1" applyBorder="1"/>
    <xf numFmtId="0" fontId="2" fillId="0" borderId="33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2" fillId="0" borderId="29" xfId="0" applyFont="1" applyBorder="1"/>
    <xf numFmtId="0" fontId="2" fillId="0" borderId="26" xfId="0" applyFont="1" applyBorder="1"/>
    <xf numFmtId="0" fontId="2" fillId="0" borderId="20" xfId="0" applyFont="1" applyBorder="1"/>
    <xf numFmtId="0" fontId="2" fillId="4" borderId="15" xfId="0" applyFont="1" applyFill="1" applyBorder="1"/>
    <xf numFmtId="0" fontId="0" fillId="0" borderId="14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0" fontId="2" fillId="6" borderId="3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164" fontId="0" fillId="0" borderId="17" xfId="0" applyNumberFormat="1" applyBorder="1" applyAlignment="1" applyProtection="1">
      <alignment horizontal="center"/>
      <protection locked="0"/>
    </xf>
    <xf numFmtId="164" fontId="0" fillId="5" borderId="18" xfId="0" applyNumberFormat="1" applyFill="1" applyBorder="1" applyAlignment="1" applyProtection="1">
      <alignment horizontal="center"/>
      <protection locked="0"/>
    </xf>
    <xf numFmtId="164" fontId="0" fillId="0" borderId="18" xfId="0" applyNumberFormat="1" applyBorder="1" applyAlignment="1" applyProtection="1">
      <alignment horizontal="center"/>
      <protection locked="0"/>
    </xf>
    <xf numFmtId="164" fontId="0" fillId="5" borderId="19" xfId="0" applyNumberFormat="1" applyFill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5" borderId="6" xfId="0" applyNumberFormat="1" applyFill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5" borderId="7" xfId="0" applyNumberFormat="1" applyFill="1" applyBorder="1" applyAlignment="1" applyProtection="1">
      <alignment horizontal="center"/>
      <protection locked="0"/>
    </xf>
    <xf numFmtId="0" fontId="2" fillId="0" borderId="11" xfId="0" applyFont="1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0" xfId="0" quotePrefix="1"/>
    <xf numFmtId="0" fontId="21" fillId="0" borderId="9" xfId="0" applyFont="1" applyBorder="1"/>
    <xf numFmtId="0" fontId="21" fillId="0" borderId="10" xfId="0" applyFont="1" applyBorder="1" applyAlignment="1" applyProtection="1">
      <alignment horizontal="center"/>
      <protection locked="0"/>
    </xf>
    <xf numFmtId="0" fontId="11" fillId="0" borderId="9" xfId="0" applyFont="1" applyBorder="1"/>
    <xf numFmtId="0" fontId="11" fillId="0" borderId="10" xfId="0" applyFont="1" applyBorder="1"/>
    <xf numFmtId="0" fontId="11" fillId="0" borderId="37" xfId="0" applyFont="1" applyBorder="1"/>
    <xf numFmtId="0" fontId="11" fillId="0" borderId="38" xfId="0" applyFont="1" applyBorder="1"/>
    <xf numFmtId="0" fontId="2" fillId="3" borderId="8" xfId="0" applyFont="1" applyFill="1" applyBorder="1"/>
    <xf numFmtId="0" fontId="21" fillId="3" borderId="9" xfId="0" applyFont="1" applyFill="1" applyBorder="1" applyAlignment="1" applyProtection="1">
      <alignment horizontal="center"/>
      <protection locked="0"/>
    </xf>
    <xf numFmtId="0" fontId="21" fillId="3" borderId="9" xfId="0" applyFont="1" applyFill="1" applyBorder="1"/>
    <xf numFmtId="0" fontId="21" fillId="3" borderId="10" xfId="0" applyFont="1" applyFill="1" applyBorder="1" applyAlignment="1" applyProtection="1">
      <alignment horizontal="center"/>
      <protection locked="0"/>
    </xf>
    <xf numFmtId="0" fontId="2" fillId="8" borderId="8" xfId="0" applyFont="1" applyFill="1" applyBorder="1" applyAlignment="1">
      <alignment horizontal="left"/>
    </xf>
    <xf numFmtId="0" fontId="21" fillId="8" borderId="9" xfId="0" applyFont="1" applyFill="1" applyBorder="1" applyAlignment="1">
      <alignment horizontal="center"/>
    </xf>
    <xf numFmtId="0" fontId="21" fillId="8" borderId="9" xfId="0" applyFont="1" applyFill="1" applyBorder="1" applyAlignment="1">
      <alignment horizontal="left"/>
    </xf>
    <xf numFmtId="0" fontId="21" fillId="8" borderId="10" xfId="0" applyFont="1" applyFill="1" applyBorder="1" applyAlignment="1">
      <alignment horizontal="center"/>
    </xf>
    <xf numFmtId="0" fontId="11" fillId="3" borderId="9" xfId="0" applyFont="1" applyFill="1" applyBorder="1"/>
    <xf numFmtId="0" fontId="11" fillId="3" borderId="10" xfId="0" applyFont="1" applyFill="1" applyBorder="1"/>
    <xf numFmtId="0" fontId="21" fillId="0" borderId="0" xfId="0" applyFont="1" applyAlignment="1" applyProtection="1">
      <alignment horizontal="center"/>
      <protection locked="0"/>
    </xf>
    <xf numFmtId="0" fontId="11" fillId="0" borderId="0" xfId="0" applyFont="1"/>
    <xf numFmtId="0" fontId="22" fillId="0" borderId="0" xfId="0" applyFont="1"/>
    <xf numFmtId="0" fontId="0" fillId="9" borderId="0" xfId="0" applyFill="1"/>
    <xf numFmtId="0" fontId="21" fillId="0" borderId="9" xfId="0" applyFont="1" applyBorder="1" applyAlignment="1" applyProtection="1">
      <alignment horizontal="center"/>
      <protection locked="0"/>
    </xf>
    <xf numFmtId="0" fontId="21" fillId="5" borderId="9" xfId="0" applyFont="1" applyFill="1" applyBorder="1" applyAlignment="1" applyProtection="1">
      <alignment horizontal="center"/>
      <protection locked="0"/>
    </xf>
    <xf numFmtId="0" fontId="21" fillId="5" borderId="10" xfId="0" applyFont="1" applyFill="1" applyBorder="1" applyAlignment="1" applyProtection="1">
      <alignment horizontal="center"/>
      <protection locked="0"/>
    </xf>
    <xf numFmtId="0" fontId="21" fillId="0" borderId="37" xfId="0" applyFont="1" applyBorder="1" applyAlignment="1" applyProtection="1">
      <alignment horizontal="center"/>
      <protection locked="0"/>
    </xf>
    <xf numFmtId="0" fontId="21" fillId="0" borderId="38" xfId="0" applyFont="1" applyBorder="1" applyAlignment="1" applyProtection="1">
      <alignment horizontal="center"/>
      <protection locked="0"/>
    </xf>
    <xf numFmtId="0" fontId="21" fillId="5" borderId="10" xfId="0" applyFont="1" applyFill="1" applyBorder="1" applyAlignment="1">
      <alignment horizontal="center"/>
    </xf>
    <xf numFmtId="0" fontId="19" fillId="7" borderId="22" xfId="0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/>
    </xf>
    <xf numFmtId="0" fontId="21" fillId="8" borderId="8" xfId="0" applyFont="1" applyFill="1" applyBorder="1" applyAlignment="1">
      <alignment horizontal="left"/>
    </xf>
    <xf numFmtId="0" fontId="20" fillId="8" borderId="9" xfId="0" applyFont="1" applyFill="1" applyBorder="1" applyAlignment="1">
      <alignment horizontal="center"/>
    </xf>
    <xf numFmtId="0" fontId="20" fillId="8" borderId="10" xfId="0" applyFont="1" applyFill="1" applyBorder="1" applyAlignment="1">
      <alignment horizontal="center"/>
    </xf>
    <xf numFmtId="0" fontId="21" fillId="3" borderId="8" xfId="0" applyFont="1" applyFill="1" applyBorder="1"/>
    <xf numFmtId="0" fontId="21" fillId="0" borderId="8" xfId="0" applyFont="1" applyBorder="1"/>
    <xf numFmtId="0" fontId="21" fillId="5" borderId="8" xfId="0" applyFont="1" applyFill="1" applyBorder="1"/>
    <xf numFmtId="0" fontId="11" fillId="5" borderId="9" xfId="0" applyFont="1" applyFill="1" applyBorder="1"/>
    <xf numFmtId="0" fontId="21" fillId="0" borderId="33" xfId="0" applyFont="1" applyBorder="1"/>
    <xf numFmtId="0" fontId="21" fillId="0" borderId="37" xfId="0" applyFont="1" applyBorder="1"/>
    <xf numFmtId="0" fontId="2" fillId="3" borderId="10" xfId="0" applyFont="1" applyFill="1" applyBorder="1" applyAlignment="1" applyProtection="1">
      <alignment horizontal="center"/>
      <protection locked="0"/>
    </xf>
    <xf numFmtId="0" fontId="22" fillId="9" borderId="0" xfId="0" applyFont="1" applyFill="1"/>
    <xf numFmtId="0" fontId="0" fillId="0" borderId="50" xfId="0" applyBorder="1" applyAlignment="1">
      <alignment horizontal="right"/>
    </xf>
    <xf numFmtId="0" fontId="0" fillId="0" borderId="8" xfId="0" quotePrefix="1" applyBorder="1" applyAlignment="1">
      <alignment horizontal="right"/>
    </xf>
    <xf numFmtId="0" fontId="2" fillId="0" borderId="28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16" fillId="7" borderId="29" xfId="0" applyFont="1" applyFill="1" applyBorder="1" applyAlignment="1" applyProtection="1">
      <alignment horizontal="center"/>
      <protection locked="0"/>
    </xf>
    <xf numFmtId="0" fontId="16" fillId="7" borderId="26" xfId="0" applyFont="1" applyFill="1" applyBorder="1" applyAlignment="1" applyProtection="1">
      <alignment horizontal="center"/>
      <protection locked="0"/>
    </xf>
    <xf numFmtId="0" fontId="16" fillId="7" borderId="20" xfId="0" applyFont="1" applyFill="1" applyBorder="1" applyAlignment="1" applyProtection="1">
      <alignment horizontal="center"/>
      <protection locked="0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5" borderId="6" xfId="0" applyNumberFormat="1" applyFill="1" applyBorder="1" applyAlignment="1" applyProtection="1">
      <alignment horizontal="center"/>
      <protection hidden="1"/>
    </xf>
    <xf numFmtId="164" fontId="0" fillId="5" borderId="7" xfId="0" applyNumberFormat="1" applyFill="1" applyBorder="1" applyAlignment="1" applyProtection="1">
      <alignment horizontal="center"/>
      <protection hidden="1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164" fontId="2" fillId="5" borderId="5" xfId="0" applyNumberFormat="1" applyFont="1" applyFill="1" applyBorder="1" applyAlignment="1">
      <alignment horizontal="center"/>
    </xf>
    <xf numFmtId="164" fontId="0" fillId="0" borderId="11" xfId="0" applyNumberFormat="1" applyBorder="1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2" fillId="2" borderId="8" xfId="0" applyNumberFormat="1" applyFont="1" applyFill="1" applyBorder="1" applyAlignment="1" applyProtection="1">
      <alignment horizontal="center"/>
      <protection hidden="1"/>
    </xf>
    <xf numFmtId="164" fontId="2" fillId="2" borderId="9" xfId="0" applyNumberFormat="1" applyFont="1" applyFill="1" applyBorder="1" applyAlignment="1" applyProtection="1">
      <alignment horizontal="center"/>
      <protection hidden="1"/>
    </xf>
    <xf numFmtId="164" fontId="2" fillId="2" borderId="10" xfId="0" applyNumberFormat="1" applyFont="1" applyFill="1" applyBorder="1" applyAlignment="1" applyProtection="1">
      <alignment horizontal="center"/>
      <protection hidden="1"/>
    </xf>
    <xf numFmtId="164" fontId="0" fillId="5" borderId="9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3" borderId="8" xfId="0" applyNumberFormat="1" applyFill="1" applyBorder="1" applyAlignment="1" applyProtection="1">
      <alignment horizontal="center"/>
      <protection hidden="1"/>
    </xf>
    <xf numFmtId="164" fontId="0" fillId="3" borderId="9" xfId="0" applyNumberFormat="1" applyFill="1" applyBorder="1" applyAlignment="1" applyProtection="1">
      <alignment horizontal="center"/>
      <protection hidden="1"/>
    </xf>
    <xf numFmtId="164" fontId="0" fillId="3" borderId="10" xfId="0" applyNumberFormat="1" applyFill="1" applyBorder="1" applyAlignment="1" applyProtection="1">
      <alignment horizontal="center"/>
      <protection hidden="1"/>
    </xf>
    <xf numFmtId="164" fontId="2" fillId="4" borderId="8" xfId="0" applyNumberFormat="1" applyFont="1" applyFill="1" applyBorder="1" applyAlignment="1" applyProtection="1">
      <alignment horizontal="center"/>
      <protection hidden="1"/>
    </xf>
    <xf numFmtId="164" fontId="2" fillId="4" borderId="9" xfId="0" applyNumberFormat="1" applyFont="1" applyFill="1" applyBorder="1" applyAlignment="1" applyProtection="1">
      <alignment horizontal="center"/>
      <protection hidden="1"/>
    </xf>
    <xf numFmtId="164" fontId="2" fillId="4" borderId="10" xfId="0" applyNumberFormat="1" applyFont="1" applyFill="1" applyBorder="1" applyAlignment="1" applyProtection="1">
      <alignment horizontal="center"/>
      <protection hidden="1"/>
    </xf>
    <xf numFmtId="164" fontId="0" fillId="0" borderId="33" xfId="0" applyNumberFormat="1" applyBorder="1" applyAlignment="1" applyProtection="1">
      <alignment horizontal="center"/>
      <protection locked="0"/>
    </xf>
    <xf numFmtId="164" fontId="0" fillId="0" borderId="37" xfId="0" applyNumberFormat="1" applyBorder="1" applyAlignment="1" applyProtection="1">
      <alignment horizontal="center"/>
      <protection locked="0"/>
    </xf>
    <xf numFmtId="164" fontId="0" fillId="0" borderId="38" xfId="0" applyNumberFormat="1" applyBorder="1" applyAlignment="1" applyProtection="1">
      <alignment horizontal="center"/>
      <protection locked="0"/>
    </xf>
    <xf numFmtId="0" fontId="2" fillId="5" borderId="23" xfId="0" applyFont="1" applyFill="1" applyBorder="1" applyAlignment="1">
      <alignment horizontal="center"/>
    </xf>
    <xf numFmtId="0" fontId="16" fillId="7" borderId="23" xfId="0" applyFont="1" applyFill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5" borderId="21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16" fillId="7" borderId="40" xfId="0" applyFont="1" applyFill="1" applyBorder="1" applyAlignment="1" applyProtection="1">
      <alignment horizontal="center"/>
      <protection locked="0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9" fillId="7" borderId="36" xfId="0" applyFont="1" applyFill="1" applyBorder="1" applyAlignment="1">
      <alignment horizontal="center"/>
    </xf>
    <xf numFmtId="0" fontId="19" fillId="7" borderId="49" xfId="0" applyFont="1" applyFill="1" applyBorder="1" applyAlignment="1">
      <alignment horizontal="center"/>
    </xf>
  </cellXfs>
  <cellStyles count="1">
    <cellStyle name="Normal" xfId="0" builtinId="0"/>
  </cellStyles>
  <dxfs count="11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1" defaultTableStyle="TableStyleMedium2" defaultPivotStyle="PivotStyleLight16">
    <tableStyle name="Invisible" pivot="0" table="0" count="0" xr9:uid="{3AF0A2D9-9786-4AD9-90CD-268DE0F677FE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DC2300"/>
      <rgbColor rgb="0000FF00"/>
      <rgbColor rgb="002300D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E6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A5" lockText="1" noThreeD="1"/>
</file>

<file path=xl/ctrlProps/ctrlProp2.xml><?xml version="1.0" encoding="utf-8"?>
<formControlPr xmlns="http://schemas.microsoft.com/office/spreadsheetml/2009/9/main" objectType="CheckBox" fmlaLink="D5" lockText="1" noThreeD="1"/>
</file>

<file path=xl/ctrlProps/ctrlProp3.xml><?xml version="1.0" encoding="utf-8"?>
<formControlPr xmlns="http://schemas.microsoft.com/office/spreadsheetml/2009/9/main" objectType="CheckBox" fmlaLink="A6" lockText="1" noThreeD="1"/>
</file>

<file path=xl/ctrlProps/ctrlProp4.xml><?xml version="1.0" encoding="utf-8"?>
<formControlPr xmlns="http://schemas.microsoft.com/office/spreadsheetml/2009/9/main" objectType="CheckBox" fmlaLink="D6" lockText="1" noThreeD="1"/>
</file>

<file path=xl/ctrlProps/ctrlProp5.xml><?xml version="1.0" encoding="utf-8"?>
<formControlPr xmlns="http://schemas.microsoft.com/office/spreadsheetml/2009/9/main" objectType="CheckBox" fmlaLink="A7" lockText="1" noThreeD="1"/>
</file>

<file path=xl/ctrlProps/ctrlProp6.xml><?xml version="1.0" encoding="utf-8"?>
<formControlPr xmlns="http://schemas.microsoft.com/office/spreadsheetml/2009/9/main" objectType="CheckBox" fmlaLink="D7" lockText="1" noThreeD="1"/>
</file>

<file path=xl/ctrlProps/ctrlProp7.xml><?xml version="1.0" encoding="utf-8"?>
<formControlPr xmlns="http://schemas.microsoft.com/office/spreadsheetml/2009/9/main" objectType="CheckBox" fmlaLink="A8" lockText="1" noThreeD="1"/>
</file>

<file path=xl/ctrlProps/ctrlProp8.xml><?xml version="1.0" encoding="utf-8"?>
<formControlPr xmlns="http://schemas.microsoft.com/office/spreadsheetml/2009/9/main" objectType="CheckBox" fmlaLink="D8" lockText="1" noThreeD="1"/>
</file>

<file path=xl/ctrlProps/ctrlProp9.xml><?xml version="1.0" encoding="utf-8"?>
<formControlPr xmlns="http://schemas.microsoft.com/office/spreadsheetml/2009/9/main" objectType="CheckBox" fmlaLink="A9" lockText="1" noThreeD="1"/>
</file>

<file path=xl/ctrlProps/ctrlProp10.xml><?xml version="1.0" encoding="utf-8"?>
<formControlPr xmlns="http://schemas.microsoft.com/office/spreadsheetml/2009/9/main" objectType="CheckBox" fmlaLink="D9" lockText="1" noThreeD="1"/>
</file>

<file path=xl/ctrlProps/ctrlProp11.xml><?xml version="1.0" encoding="utf-8"?>
<formControlPr xmlns="http://schemas.microsoft.com/office/spreadsheetml/2009/9/main" objectType="CheckBox" fmlaLink="A10" lockText="1" noThreeD="1"/>
</file>

<file path=xl/ctrlProps/ctrlProp12.xml><?xml version="1.0" encoding="utf-8"?>
<formControlPr xmlns="http://schemas.microsoft.com/office/spreadsheetml/2009/9/main" objectType="CheckBox" fmlaLink="D10" lockText="1" noThreeD="1"/>
</file>

<file path=xl/ctrlProps/ctrlProp13.xml><?xml version="1.0" encoding="utf-8"?>
<formControlPr xmlns="http://schemas.microsoft.com/office/spreadsheetml/2009/9/main" objectType="CheckBox" fmlaLink="A11" lockText="1" noThreeD="1"/>
</file>

<file path=xl/ctrlProps/ctrlProp14.xml><?xml version="1.0" encoding="utf-8"?>
<formControlPr xmlns="http://schemas.microsoft.com/office/spreadsheetml/2009/9/main" objectType="CheckBox" fmlaLink="D11" lockText="1" noThreeD="1"/>
</file>

<file path=xl/ctrlProps/ctrlProp15.xml><?xml version="1.0" encoding="utf-8"?>
<formControlPr xmlns="http://schemas.microsoft.com/office/spreadsheetml/2009/9/main" objectType="CheckBox" fmlaLink="A12" lockText="1" noThreeD="1"/>
</file>

<file path=xl/ctrlProps/ctrlProp16.xml><?xml version="1.0" encoding="utf-8"?>
<formControlPr xmlns="http://schemas.microsoft.com/office/spreadsheetml/2009/9/main" objectType="CheckBox" fmlaLink="D12" lockText="1" noThreeD="1"/>
</file>

<file path=xl/ctrlProps/ctrlProp17.xml><?xml version="1.0" encoding="utf-8"?>
<formControlPr xmlns="http://schemas.microsoft.com/office/spreadsheetml/2009/9/main" objectType="CheckBox" fmlaLink="A13" lockText="1" noThreeD="1"/>
</file>

<file path=xl/ctrlProps/ctrlProp18.xml><?xml version="1.0" encoding="utf-8"?>
<formControlPr xmlns="http://schemas.microsoft.com/office/spreadsheetml/2009/9/main" objectType="CheckBox" fmlaLink="D13" lockText="1" noThreeD="1"/>
</file>

<file path=xl/ctrlProps/ctrlProp19.xml><?xml version="1.0" encoding="utf-8"?>
<formControlPr xmlns="http://schemas.microsoft.com/office/spreadsheetml/2009/9/main" objectType="CheckBox" fmlaLink="A14" lockText="1" noThreeD="1"/>
</file>

<file path=xl/ctrlProps/ctrlProp20.xml><?xml version="1.0" encoding="utf-8"?>
<formControlPr xmlns="http://schemas.microsoft.com/office/spreadsheetml/2009/9/main" objectType="CheckBox" fmlaLink="D14" lockText="1" noThreeD="1"/>
</file>

<file path=xl/ctrlProps/ctrlProp21.xml><?xml version="1.0" encoding="utf-8"?>
<formControlPr xmlns="http://schemas.microsoft.com/office/spreadsheetml/2009/9/main" objectType="CheckBox" fmlaLink="A15" lockText="1" noThreeD="1"/>
</file>

<file path=xl/ctrlProps/ctrlProp22.xml><?xml version="1.0" encoding="utf-8"?>
<formControlPr xmlns="http://schemas.microsoft.com/office/spreadsheetml/2009/9/main" objectType="CheckBox" fmlaLink="D15" lockText="1" noThreeD="1"/>
</file>

<file path=xl/ctrlProps/ctrlProp23.xml><?xml version="1.0" encoding="utf-8"?>
<formControlPr xmlns="http://schemas.microsoft.com/office/spreadsheetml/2009/9/main" objectType="CheckBox" fmlaLink="A16" lockText="1" noThreeD="1"/>
</file>

<file path=xl/ctrlProps/ctrlProp24.xml><?xml version="1.0" encoding="utf-8"?>
<formControlPr xmlns="http://schemas.microsoft.com/office/spreadsheetml/2009/9/main" objectType="CheckBox" fmlaLink="D16" lockText="1" noThreeD="1"/>
</file>

<file path=xl/ctrlProps/ctrlProp25.xml><?xml version="1.0" encoding="utf-8"?>
<formControlPr xmlns="http://schemas.microsoft.com/office/spreadsheetml/2009/9/main" objectType="CheckBox" fmlaLink="A17" lockText="1" noThreeD="1"/>
</file>

<file path=xl/ctrlProps/ctrlProp26.xml><?xml version="1.0" encoding="utf-8"?>
<formControlPr xmlns="http://schemas.microsoft.com/office/spreadsheetml/2009/9/main" objectType="CheckBox" fmlaLink="D17" lockText="1" noThreeD="1"/>
</file>

<file path=xl/ctrlProps/ctrlProp27.xml><?xml version="1.0" encoding="utf-8"?>
<formControlPr xmlns="http://schemas.microsoft.com/office/spreadsheetml/2009/9/main" objectType="CheckBox" fmlaLink="A18" lockText="1" noThreeD="1"/>
</file>

<file path=xl/ctrlProps/ctrlProp28.xml><?xml version="1.0" encoding="utf-8"?>
<formControlPr xmlns="http://schemas.microsoft.com/office/spreadsheetml/2009/9/main" objectType="CheckBox" fmlaLink="D18" lockText="1" noThreeD="1"/>
</file>

<file path=xl/ctrlProps/ctrlProp29.xml><?xml version="1.0" encoding="utf-8"?>
<formControlPr xmlns="http://schemas.microsoft.com/office/spreadsheetml/2009/9/main" objectType="CheckBox" fmlaLink="A19" lockText="1" noThreeD="1"/>
</file>

<file path=xl/ctrlProps/ctrlProp30.xml><?xml version="1.0" encoding="utf-8"?>
<formControlPr xmlns="http://schemas.microsoft.com/office/spreadsheetml/2009/9/main" objectType="CheckBox" fmlaLink="D19" lockText="1" noThreeD="1"/>
</file>

<file path=xl/ctrlProps/ctrlProp31.xml><?xml version="1.0" encoding="utf-8"?>
<formControlPr xmlns="http://schemas.microsoft.com/office/spreadsheetml/2009/9/main" objectType="CheckBox" fmlaLink="A20" lockText="1" noThreeD="1"/>
</file>

<file path=xl/ctrlProps/ctrlProp32.xml><?xml version="1.0" encoding="utf-8"?>
<formControlPr xmlns="http://schemas.microsoft.com/office/spreadsheetml/2009/9/main" objectType="CheckBox" fmlaLink="D20" lockText="1" noThreeD="1"/>
</file>

<file path=xl/ctrlProps/ctrlProp33.xml><?xml version="1.0" encoding="utf-8"?>
<formControlPr xmlns="http://schemas.microsoft.com/office/spreadsheetml/2009/9/main" objectType="CheckBox" fmlaLink="A21" lockText="1" noThreeD="1"/>
</file>

<file path=xl/ctrlProps/ctrlProp34.xml><?xml version="1.0" encoding="utf-8"?>
<formControlPr xmlns="http://schemas.microsoft.com/office/spreadsheetml/2009/9/main" objectType="CheckBox" fmlaLink="D21" lockText="1" noThreeD="1"/>
</file>

<file path=xl/ctrlProps/ctrlProp35.xml><?xml version="1.0" encoding="utf-8"?>
<formControlPr xmlns="http://schemas.microsoft.com/office/spreadsheetml/2009/9/main" objectType="CheckBox" fmlaLink="A22" lockText="1" noThreeD="1"/>
</file>

<file path=xl/ctrlProps/ctrlProp36.xml><?xml version="1.0" encoding="utf-8"?>
<formControlPr xmlns="http://schemas.microsoft.com/office/spreadsheetml/2009/9/main" objectType="CheckBox" fmlaLink="D22" lockText="1" noThreeD="1"/>
</file>

<file path=xl/ctrlProps/ctrlProp37.xml><?xml version="1.0" encoding="utf-8"?>
<formControlPr xmlns="http://schemas.microsoft.com/office/spreadsheetml/2009/9/main" objectType="CheckBox" fmlaLink="A23" lockText="1" noThreeD="1"/>
</file>

<file path=xl/ctrlProps/ctrlProp38.xml><?xml version="1.0" encoding="utf-8"?>
<formControlPr xmlns="http://schemas.microsoft.com/office/spreadsheetml/2009/9/main" objectType="CheckBox" fmlaLink="D23" lockText="1" noThreeD="1"/>
</file>

<file path=xl/ctrlProps/ctrlProp39.xml><?xml version="1.0" encoding="utf-8"?>
<formControlPr xmlns="http://schemas.microsoft.com/office/spreadsheetml/2009/9/main" objectType="CheckBox" fmlaLink="A24" lockText="1" noThreeD="1"/>
</file>

<file path=xl/ctrlProps/ctrlProp40.xml><?xml version="1.0" encoding="utf-8"?>
<formControlPr xmlns="http://schemas.microsoft.com/office/spreadsheetml/2009/9/main" objectType="CheckBox" fmlaLink="D24" lockText="1" noThreeD="1"/>
</file>

<file path=xl/ctrlProps/ctrlProp41.xml><?xml version="1.0" encoding="utf-8"?>
<formControlPr xmlns="http://schemas.microsoft.com/office/spreadsheetml/2009/9/main" objectType="CheckBox" fmlaLink="A25" lockText="1" noThreeD="1"/>
</file>

<file path=xl/ctrlProps/ctrlProp42.xml><?xml version="1.0" encoding="utf-8"?>
<formControlPr xmlns="http://schemas.microsoft.com/office/spreadsheetml/2009/9/main" objectType="CheckBox" fmlaLink="D25" lockText="1" noThreeD="1"/>
</file>

<file path=xl/ctrlProps/ctrlProp43.xml><?xml version="1.0" encoding="utf-8"?>
<formControlPr xmlns="http://schemas.microsoft.com/office/spreadsheetml/2009/9/main" objectType="CheckBox" fmlaLink="A26" lockText="1" noThreeD="1"/>
</file>

<file path=xl/ctrlProps/ctrlProp44.xml><?xml version="1.0" encoding="utf-8"?>
<formControlPr xmlns="http://schemas.microsoft.com/office/spreadsheetml/2009/9/main" objectType="CheckBox" fmlaLink="D26" lockText="1" noThreeD="1"/>
</file>

<file path=xl/ctrlProps/ctrlProp45.xml><?xml version="1.0" encoding="utf-8"?>
<formControlPr xmlns="http://schemas.microsoft.com/office/spreadsheetml/2009/9/main" objectType="CheckBox" fmlaLink="A27" lockText="1" noThreeD="1"/>
</file>

<file path=xl/ctrlProps/ctrlProp46.xml><?xml version="1.0" encoding="utf-8"?>
<formControlPr xmlns="http://schemas.microsoft.com/office/spreadsheetml/2009/9/main" objectType="CheckBox" fmlaLink="D27" lockText="1" noThreeD="1"/>
</file>

<file path=xl/ctrlProps/ctrlProp47.xml><?xml version="1.0" encoding="utf-8"?>
<formControlPr xmlns="http://schemas.microsoft.com/office/spreadsheetml/2009/9/main" objectType="CheckBox" fmlaLink="A28" lockText="1" noThreeD="1"/>
</file>

<file path=xl/ctrlProps/ctrlProp48.xml><?xml version="1.0" encoding="utf-8"?>
<formControlPr xmlns="http://schemas.microsoft.com/office/spreadsheetml/2009/9/main" objectType="CheckBox" fmlaLink="D28" lockText="1" noThreeD="1"/>
</file>

<file path=xl/ctrlProps/ctrlProp49.xml><?xml version="1.0" encoding="utf-8"?>
<formControlPr xmlns="http://schemas.microsoft.com/office/spreadsheetml/2009/9/main" objectType="CheckBox" fmlaLink="A29" lockText="1" noThreeD="1"/>
</file>

<file path=xl/ctrlProps/ctrlProp50.xml><?xml version="1.0" encoding="utf-8"?>
<formControlPr xmlns="http://schemas.microsoft.com/office/spreadsheetml/2009/9/main" objectType="CheckBox" fmlaLink="D29" lockText="1" noThreeD="1"/>
</file>

<file path=xl/ctrlProps/ctrlProp51.xml><?xml version="1.0" encoding="utf-8"?>
<formControlPr xmlns="http://schemas.microsoft.com/office/spreadsheetml/2009/9/main" objectType="CheckBox" fmlaLink="A30" lockText="1" noThreeD="1"/>
</file>

<file path=xl/ctrlProps/ctrlProp52.xml><?xml version="1.0" encoding="utf-8"?>
<formControlPr xmlns="http://schemas.microsoft.com/office/spreadsheetml/2009/9/main" objectType="CheckBox" fmlaLink="D30" lockText="1" noThreeD="1"/>
</file>

<file path=xl/ctrlProps/ctrlProp53.xml><?xml version="1.0" encoding="utf-8"?>
<formControlPr xmlns="http://schemas.microsoft.com/office/spreadsheetml/2009/9/main" objectType="CheckBox" fmlaLink="A31" lockText="1" noThreeD="1"/>
</file>

<file path=xl/ctrlProps/ctrlProp54.xml><?xml version="1.0" encoding="utf-8"?>
<formControlPr xmlns="http://schemas.microsoft.com/office/spreadsheetml/2009/9/main" objectType="CheckBox" fmlaLink="D31" lockText="1" noThreeD="1"/>
</file>

<file path=xl/ctrlProps/ctrlProp55.xml><?xml version="1.0" encoding="utf-8"?>
<formControlPr xmlns="http://schemas.microsoft.com/office/spreadsheetml/2009/9/main" objectType="CheckBox" fmlaLink="A32" lockText="1" noThreeD="1"/>
</file>

<file path=xl/ctrlProps/ctrlProp56.xml><?xml version="1.0" encoding="utf-8"?>
<formControlPr xmlns="http://schemas.microsoft.com/office/spreadsheetml/2009/9/main" objectType="CheckBox" fmlaLink="D32" lockText="1" noThreeD="1"/>
</file>

<file path=xl/ctrlProps/ctrlProp57.xml><?xml version="1.0" encoding="utf-8"?>
<formControlPr xmlns="http://schemas.microsoft.com/office/spreadsheetml/2009/9/main" objectType="CheckBox" fmlaLink="A33" lockText="1" noThreeD="1"/>
</file>

<file path=xl/ctrlProps/ctrlProp58.xml><?xml version="1.0" encoding="utf-8"?>
<formControlPr xmlns="http://schemas.microsoft.com/office/spreadsheetml/2009/9/main" objectType="CheckBox" fmlaLink="D33" lockText="1" noThreeD="1"/>
</file>

<file path=xl/ctrlProps/ctrlProp59.xml><?xml version="1.0" encoding="utf-8"?>
<formControlPr xmlns="http://schemas.microsoft.com/office/spreadsheetml/2009/9/main" objectType="CheckBox" fmlaLink="A34" lockText="1" noThreeD="1"/>
</file>

<file path=xl/ctrlProps/ctrlProp60.xml><?xml version="1.0" encoding="utf-8"?>
<formControlPr xmlns="http://schemas.microsoft.com/office/spreadsheetml/2009/9/main" objectType="CheckBox" fmlaLink="D34" lockText="1" noThreeD="1"/>
</file>

<file path=xl/ctrlProps/ctrlProp61.xml><?xml version="1.0" encoding="utf-8"?>
<formControlPr xmlns="http://schemas.microsoft.com/office/spreadsheetml/2009/9/main" objectType="CheckBox" fmlaLink="A35" lockText="1" noThreeD="1"/>
</file>

<file path=xl/ctrlProps/ctrlProp62.xml><?xml version="1.0" encoding="utf-8"?>
<formControlPr xmlns="http://schemas.microsoft.com/office/spreadsheetml/2009/9/main" objectType="CheckBox" fmlaLink="D35" lockText="1" noThreeD="1"/>
</file>

<file path=xl/ctrlProps/ctrlProp63.xml><?xml version="1.0" encoding="utf-8"?>
<formControlPr xmlns="http://schemas.microsoft.com/office/spreadsheetml/2009/9/main" objectType="CheckBox" fmlaLink="A36" lockText="1" noThreeD="1"/>
</file>

<file path=xl/ctrlProps/ctrlProp64.xml><?xml version="1.0" encoding="utf-8"?>
<formControlPr xmlns="http://schemas.microsoft.com/office/spreadsheetml/2009/9/main" objectType="CheckBox" fmlaLink="D36" lockText="1" noThreeD="1"/>
</file>

<file path=xl/ctrlProps/ctrlProp65.xml><?xml version="1.0" encoding="utf-8"?>
<formControlPr xmlns="http://schemas.microsoft.com/office/spreadsheetml/2009/9/main" objectType="CheckBox" fmlaLink="A37" lockText="1" noThreeD="1"/>
</file>

<file path=xl/ctrlProps/ctrlProp66.xml><?xml version="1.0" encoding="utf-8"?>
<formControlPr xmlns="http://schemas.microsoft.com/office/spreadsheetml/2009/9/main" objectType="CheckBox" fmlaLink="D37" lockText="1" noThreeD="1"/>
</file>

<file path=xl/ctrlProps/ctrlProp67.xml><?xml version="1.0" encoding="utf-8"?>
<formControlPr xmlns="http://schemas.microsoft.com/office/spreadsheetml/2009/9/main" objectType="CheckBox" fmlaLink="A38" lockText="1" noThreeD="1"/>
</file>

<file path=xl/ctrlProps/ctrlProp68.xml><?xml version="1.0" encoding="utf-8"?>
<formControlPr xmlns="http://schemas.microsoft.com/office/spreadsheetml/2009/9/main" objectType="CheckBox" fmlaLink="D38" lockText="1" noThreeD="1"/>
</file>

<file path=xl/ctrlProps/ctrlProp69.xml><?xml version="1.0" encoding="utf-8"?>
<formControlPr xmlns="http://schemas.microsoft.com/office/spreadsheetml/2009/9/main" objectType="CheckBox" fmlaLink="A39" lockText="1" noThreeD="1"/>
</file>

<file path=xl/ctrlProps/ctrlProp70.xml><?xml version="1.0" encoding="utf-8"?>
<formControlPr xmlns="http://schemas.microsoft.com/office/spreadsheetml/2009/9/main" objectType="CheckBox" fmlaLink="D39" lockText="1" noThreeD="1"/>
</file>

<file path=xl/ctrlProps/ctrlProp71.xml><?xml version="1.0" encoding="utf-8"?>
<formControlPr xmlns="http://schemas.microsoft.com/office/spreadsheetml/2009/9/main" objectType="CheckBox" fmlaLink="M3" lockText="1" noThreeD="1"/>
</file>

<file path=xl/ctrlProps/ctrlProp72.xml><?xml version="1.0" encoding="utf-8"?>
<formControlPr xmlns="http://schemas.microsoft.com/office/spreadsheetml/2009/9/main" objectType="CheckBox" fmlaLink="P3" lockText="1" noThreeD="1"/>
</file>

<file path=xl/ctrlProps/ctrlProp73.xml><?xml version="1.0" encoding="utf-8"?>
<formControlPr xmlns="http://schemas.microsoft.com/office/spreadsheetml/2009/9/main" objectType="CheckBox" fmlaLink="M4" lockText="1" noThreeD="1"/>
</file>

<file path=xl/ctrlProps/ctrlProp74.xml><?xml version="1.0" encoding="utf-8"?>
<formControlPr xmlns="http://schemas.microsoft.com/office/spreadsheetml/2009/9/main" objectType="CheckBox" fmlaLink="P4" lockText="1" noThreeD="1"/>
</file>

<file path=xl/ctrlProps/ctrlProp75.xml><?xml version="1.0" encoding="utf-8"?>
<formControlPr xmlns="http://schemas.microsoft.com/office/spreadsheetml/2009/9/main" objectType="CheckBox" fmlaLink="M5" lockText="1" noThreeD="1"/>
</file>

<file path=xl/ctrlProps/ctrlProp76.xml><?xml version="1.0" encoding="utf-8"?>
<formControlPr xmlns="http://schemas.microsoft.com/office/spreadsheetml/2009/9/main" objectType="CheckBox" fmlaLink="P5" lockText="1" noThreeD="1"/>
</file>

<file path=xl/ctrlProps/ctrlProp77.xml><?xml version="1.0" encoding="utf-8"?>
<formControlPr xmlns="http://schemas.microsoft.com/office/spreadsheetml/2009/9/main" objectType="CheckBox" fmlaLink="M6" lockText="1" noThreeD="1"/>
</file>

<file path=xl/ctrlProps/ctrlProp78.xml><?xml version="1.0" encoding="utf-8"?>
<formControlPr xmlns="http://schemas.microsoft.com/office/spreadsheetml/2009/9/main" objectType="CheckBox" fmlaLink="P6" lockText="1" noThreeD="1"/>
</file>

<file path=xl/ctrlProps/ctrlProp79.xml><?xml version="1.0" encoding="utf-8"?>
<formControlPr xmlns="http://schemas.microsoft.com/office/spreadsheetml/2009/9/main" objectType="CheckBox" fmlaLink="M7" lockText="1" noThreeD="1"/>
</file>

<file path=xl/ctrlProps/ctrlProp80.xml><?xml version="1.0" encoding="utf-8"?>
<formControlPr xmlns="http://schemas.microsoft.com/office/spreadsheetml/2009/9/main" objectType="CheckBox" fmlaLink="P7" lockText="1" noThreeD="1"/>
</file>

<file path=xl/ctrlProps/ctrlProp81.xml><?xml version="1.0" encoding="utf-8"?>
<formControlPr xmlns="http://schemas.microsoft.com/office/spreadsheetml/2009/9/main" objectType="CheckBox" fmlaLink="M8" lockText="1" noThreeD="1"/>
</file>

<file path=xl/ctrlProps/ctrlProp82.xml><?xml version="1.0" encoding="utf-8"?>
<formControlPr xmlns="http://schemas.microsoft.com/office/spreadsheetml/2009/9/main" objectType="CheckBox" fmlaLink="P8" lockText="1" noThreeD="1"/>
</file>

<file path=xl/ctrlProps/ctrlProp83.xml><?xml version="1.0" encoding="utf-8"?>
<formControlPr xmlns="http://schemas.microsoft.com/office/spreadsheetml/2009/9/main" objectType="CheckBox" fmlaLink="M19" lockText="1" noThreeD="1"/>
</file>

<file path=xl/ctrlProps/ctrlProp84.xml><?xml version="1.0" encoding="utf-8"?>
<formControlPr xmlns="http://schemas.microsoft.com/office/spreadsheetml/2009/9/main" objectType="CheckBox" fmlaLink="P19" lockText="1" noThreeD="1"/>
</file>

<file path=xl/ctrlProps/ctrlProp85.xml><?xml version="1.0" encoding="utf-8"?>
<formControlPr xmlns="http://schemas.microsoft.com/office/spreadsheetml/2009/9/main" objectType="CheckBox" fmlaLink="M20" lockText="1" noThreeD="1"/>
</file>

<file path=xl/ctrlProps/ctrlProp86.xml><?xml version="1.0" encoding="utf-8"?>
<formControlPr xmlns="http://schemas.microsoft.com/office/spreadsheetml/2009/9/main" objectType="CheckBox" fmlaLink="P20" lockText="1" noThreeD="1"/>
</file>

<file path=xl/ctrlProps/ctrlProp87.xml><?xml version="1.0" encoding="utf-8"?>
<formControlPr xmlns="http://schemas.microsoft.com/office/spreadsheetml/2009/9/main" objectType="CheckBox" fmlaLink="M21" lockText="1" noThreeD="1"/>
</file>

<file path=xl/ctrlProps/ctrlProp88.xml><?xml version="1.0" encoding="utf-8"?>
<formControlPr xmlns="http://schemas.microsoft.com/office/spreadsheetml/2009/9/main" objectType="CheckBox" fmlaLink="P21" lockText="1" noThreeD="1"/>
</file>

<file path=xl/ctrlProps/ctrlProp89.xml><?xml version="1.0" encoding="utf-8"?>
<formControlPr xmlns="http://schemas.microsoft.com/office/spreadsheetml/2009/9/main" objectType="CheckBox" fmlaLink="M22" lockText="1" noThreeD="1"/>
</file>

<file path=xl/ctrlProps/ctrlProp90.xml><?xml version="1.0" encoding="utf-8"?>
<formControlPr xmlns="http://schemas.microsoft.com/office/spreadsheetml/2009/9/main" objectType="CheckBox" fmlaLink="P22" lockText="1" noThreeD="1"/>
</file>

<file path=xl/ctrlProps/ctrlProp91.xml><?xml version="1.0" encoding="utf-8"?>
<formControlPr xmlns="http://schemas.microsoft.com/office/spreadsheetml/2009/9/main" objectType="CheckBox" fmlaLink="M23" lockText="1" noThreeD="1"/>
</file>

<file path=xl/ctrlProps/ctrlProp92.xml><?xml version="1.0" encoding="utf-8"?>
<formControlPr xmlns="http://schemas.microsoft.com/office/spreadsheetml/2009/9/main" objectType="CheckBox" fmlaLink="P23" lockText="1" noThreeD="1"/>
</file>

<file path=xl/ctrlProps/ctrlProp93.xml><?xml version="1.0" encoding="utf-8"?>
<formControlPr xmlns="http://schemas.microsoft.com/office/spreadsheetml/2009/9/main" objectType="CheckBox" fmlaLink="M24" lockText="1" noThreeD="1"/>
</file>

<file path=xl/ctrlProps/ctrlProp94.xml><?xml version="1.0" encoding="utf-8"?>
<formControlPr xmlns="http://schemas.microsoft.com/office/spreadsheetml/2009/9/main" objectType="CheckBox" fmlaLink="P24" lockText="1" noThreeD="1"/>
</file>

<file path=xl/ctrlProps/ctrlProp95.xml><?xml version="1.0" encoding="utf-8"?>
<formControlPr xmlns="http://schemas.microsoft.com/office/spreadsheetml/2009/9/main" objectType="CheckBox" fmlaLink="M25" lockText="1" noThreeD="1"/>
</file>

<file path=xl/ctrlProps/ctrlProp96.xml><?xml version="1.0" encoding="utf-8"?>
<formControlPr xmlns="http://schemas.microsoft.com/office/spreadsheetml/2009/9/main" objectType="CheckBox" fmlaLink="P25" lockText="1" noThreeD="1"/>
</file>

<file path=xl/ctrlProps/ctrlProp97.xml><?xml version="1.0" encoding="utf-8"?>
<formControlPr xmlns="http://schemas.microsoft.com/office/spreadsheetml/2009/9/main" objectType="CheckBox" fmlaLink="M26" lockText="1" noThreeD="1"/>
</file>

<file path=xl/ctrlProps/ctrlProp98.xml><?xml version="1.0" encoding="utf-8"?>
<formControlPr xmlns="http://schemas.microsoft.com/office/spreadsheetml/2009/9/main" objectType="CheckBox" fmlaLink="P26" lockText="1" noThreeD="1"/>
</file>

<file path=xl/ctrlProps/ctrlProp99.xml><?xml version="1.0" encoding="utf-8"?>
<formControlPr xmlns="http://schemas.microsoft.com/office/spreadsheetml/2009/9/main" objectType="CheckBox" fmlaLink="M27" lockText="1" noThreeD="1"/>
</file>

<file path=xl/ctrlProps/ctrlProp100.xml><?xml version="1.0" encoding="utf-8"?>
<formControlPr xmlns="http://schemas.microsoft.com/office/spreadsheetml/2009/9/main" objectType="CheckBox" fmlaLink="P27" lockText="1" noThreeD="1"/>
</file>

<file path=xl/ctrlProps/ctrlProp101.xml><?xml version="1.0" encoding="utf-8"?>
<formControlPr xmlns="http://schemas.microsoft.com/office/spreadsheetml/2009/9/main" objectType="CheckBox" fmlaLink="M28" lockText="1" noThreeD="1"/>
</file>

<file path=xl/ctrlProps/ctrlProp102.xml><?xml version="1.0" encoding="utf-8"?>
<formControlPr xmlns="http://schemas.microsoft.com/office/spreadsheetml/2009/9/main" objectType="CheckBox" fmlaLink="P28" lockText="1" noThreeD="1"/>
</file>

<file path=xl/ctrlProps/ctrlProp103.xml><?xml version="1.0" encoding="utf-8"?>
<formControlPr xmlns="http://schemas.microsoft.com/office/spreadsheetml/2009/9/main" objectType="CheckBox" fmlaLink="M29" lockText="1" noThreeD="1"/>
</file>

<file path=xl/ctrlProps/ctrlProp104.xml><?xml version="1.0" encoding="utf-8"?>
<formControlPr xmlns="http://schemas.microsoft.com/office/spreadsheetml/2009/9/main" objectType="CheckBox" fmlaLink="P29" lockText="1" noThreeD="1"/>
</file>

<file path=xl/ctrlProps/ctrlProp105.xml><?xml version="1.0" encoding="utf-8"?>
<formControlPr xmlns="http://schemas.microsoft.com/office/spreadsheetml/2009/9/main" objectType="CheckBox" fmlaLink="M30" lockText="1" noThreeD="1"/>
</file>

<file path=xl/ctrlProps/ctrlProp106.xml><?xml version="1.0" encoding="utf-8"?>
<formControlPr xmlns="http://schemas.microsoft.com/office/spreadsheetml/2009/9/main" objectType="CheckBox" fmlaLink="P30" lockText="1" noThreeD="1"/>
</file>

<file path=xl/ctrlProps/ctrlProp107.xml><?xml version="1.0" encoding="utf-8"?>
<formControlPr xmlns="http://schemas.microsoft.com/office/spreadsheetml/2009/9/main" objectType="CheckBox" fmlaLink="M9" lockText="1" noThreeD="1"/>
</file>

<file path=xl/ctrlProps/ctrlProp108.xml><?xml version="1.0" encoding="utf-8"?>
<formControlPr xmlns="http://schemas.microsoft.com/office/spreadsheetml/2009/9/main" objectType="CheckBox" fmlaLink="P9" lockText="1" noThreeD="1"/>
</file>

<file path=xl/ctrlProps/ctrlProp109.xml><?xml version="1.0" encoding="utf-8"?>
<formControlPr xmlns="http://schemas.microsoft.com/office/spreadsheetml/2009/9/main" objectType="CheckBox" fmlaLink="M10" lockText="1" noThreeD="1"/>
</file>

<file path=xl/ctrlProps/ctrlProp110.xml><?xml version="1.0" encoding="utf-8"?>
<formControlPr xmlns="http://schemas.microsoft.com/office/spreadsheetml/2009/9/main" objectType="CheckBox" fmlaLink="P10" lockText="1" noThreeD="1"/>
</file>

<file path=xl/ctrlProps/ctrlProp111.xml><?xml version="1.0" encoding="utf-8"?>
<formControlPr xmlns="http://schemas.microsoft.com/office/spreadsheetml/2009/9/main" objectType="CheckBox" fmlaLink="M11" lockText="1" noThreeD="1"/>
</file>

<file path=xl/ctrlProps/ctrlProp112.xml><?xml version="1.0" encoding="utf-8"?>
<formControlPr xmlns="http://schemas.microsoft.com/office/spreadsheetml/2009/9/main" objectType="CheckBox" fmlaLink="P11" lockText="1" noThreeD="1"/>
</file>

<file path=xl/ctrlProps/ctrlProp113.xml><?xml version="1.0" encoding="utf-8"?>
<formControlPr xmlns="http://schemas.microsoft.com/office/spreadsheetml/2009/9/main" objectType="CheckBox" fmlaLink="M12" lockText="1" noThreeD="1"/>
</file>

<file path=xl/ctrlProps/ctrlProp114.xml><?xml version="1.0" encoding="utf-8"?>
<formControlPr xmlns="http://schemas.microsoft.com/office/spreadsheetml/2009/9/main" objectType="CheckBox" fmlaLink="P12" lockText="1" noThreeD="1"/>
</file>

<file path=xl/ctrlProps/ctrlProp115.xml><?xml version="1.0" encoding="utf-8"?>
<formControlPr xmlns="http://schemas.microsoft.com/office/spreadsheetml/2009/9/main" objectType="CheckBox" fmlaLink="M13" lockText="1" noThreeD="1"/>
</file>

<file path=xl/ctrlProps/ctrlProp116.xml><?xml version="1.0" encoding="utf-8"?>
<formControlPr xmlns="http://schemas.microsoft.com/office/spreadsheetml/2009/9/main" objectType="CheckBox" fmlaLink="P13" lockText="1" noThreeD="1"/>
</file>

<file path=xl/ctrlProps/ctrlProp117.xml><?xml version="1.0" encoding="utf-8"?>
<formControlPr xmlns="http://schemas.microsoft.com/office/spreadsheetml/2009/9/main" objectType="CheckBox" fmlaLink="M14" lockText="1" noThreeD="1"/>
</file>

<file path=xl/ctrlProps/ctrlProp118.xml><?xml version="1.0" encoding="utf-8"?>
<formControlPr xmlns="http://schemas.microsoft.com/office/spreadsheetml/2009/9/main" objectType="CheckBox" fmlaLink="P14" lockText="1" noThreeD="1"/>
</file>

<file path=xl/ctrlProps/ctrlProp119.xml><?xml version="1.0" encoding="utf-8"?>
<formControlPr xmlns="http://schemas.microsoft.com/office/spreadsheetml/2009/9/main" objectType="CheckBox" fmlaLink="M15" lockText="1" noThreeD="1"/>
</file>

<file path=xl/ctrlProps/ctrlProp120.xml><?xml version="1.0" encoding="utf-8"?>
<formControlPr xmlns="http://schemas.microsoft.com/office/spreadsheetml/2009/9/main" objectType="CheckBox" fmlaLink="P15" lockText="1" noThreeD="1"/>
</file>

<file path=xl/ctrlProps/ctrlProp121.xml><?xml version="1.0" encoding="utf-8"?>
<formControlPr xmlns="http://schemas.microsoft.com/office/spreadsheetml/2009/9/main" objectType="CheckBox" fmlaLink="M16" lockText="1" noThreeD="1"/>
</file>

<file path=xl/ctrlProps/ctrlProp122.xml><?xml version="1.0" encoding="utf-8"?>
<formControlPr xmlns="http://schemas.microsoft.com/office/spreadsheetml/2009/9/main" objectType="CheckBox" fmlaLink="P16" lockText="1" noThreeD="1"/>
</file>

<file path=xl/ctrlProps/ctrlProp123.xml><?xml version="1.0" encoding="utf-8"?>
<formControlPr xmlns="http://schemas.microsoft.com/office/spreadsheetml/2009/9/main" objectType="CheckBox" fmlaLink="M17" lockText="1" noThreeD="1"/>
</file>

<file path=xl/ctrlProps/ctrlProp124.xml><?xml version="1.0" encoding="utf-8"?>
<formControlPr xmlns="http://schemas.microsoft.com/office/spreadsheetml/2009/9/main" objectType="CheckBox" fmlaLink="P17" lockText="1" noThreeD="1"/>
</file>

<file path=xl/ctrlProps/ctrlProp125.xml><?xml version="1.0" encoding="utf-8"?>
<formControlPr xmlns="http://schemas.microsoft.com/office/spreadsheetml/2009/9/main" objectType="CheckBox" fmlaLink="M18" lockText="1" noThreeD="1"/>
</file>

<file path=xl/ctrlProps/ctrlProp126.xml><?xml version="1.0" encoding="utf-8"?>
<formControlPr xmlns="http://schemas.microsoft.com/office/spreadsheetml/2009/9/main" objectType="CheckBox" fmlaLink="P1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5</xdr:col>
          <xdr:colOff>254000</xdr:colOff>
          <xdr:row>5</xdr:row>
          <xdr:rowOff>63500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5</xdr:col>
          <xdr:colOff>101600</xdr:colOff>
          <xdr:row>5</xdr:row>
          <xdr:rowOff>44450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133350</xdr:rowOff>
        </xdr:from>
        <xdr:to>
          <xdr:col>5</xdr:col>
          <xdr:colOff>254000</xdr:colOff>
          <xdr:row>6</xdr:row>
          <xdr:rowOff>25400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133350</xdr:rowOff>
        </xdr:from>
        <xdr:to>
          <xdr:col>5</xdr:col>
          <xdr:colOff>95250</xdr:colOff>
          <xdr:row>6</xdr:row>
          <xdr:rowOff>25400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133350</xdr:rowOff>
        </xdr:from>
        <xdr:to>
          <xdr:col>5</xdr:col>
          <xdr:colOff>254000</xdr:colOff>
          <xdr:row>7</xdr:row>
          <xdr:rowOff>25400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133350</xdr:rowOff>
        </xdr:from>
        <xdr:to>
          <xdr:col>5</xdr:col>
          <xdr:colOff>82550</xdr:colOff>
          <xdr:row>7</xdr:row>
          <xdr:rowOff>25400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133350</xdr:rowOff>
        </xdr:from>
        <xdr:to>
          <xdr:col>5</xdr:col>
          <xdr:colOff>254000</xdr:colOff>
          <xdr:row>8</xdr:row>
          <xdr:rowOff>25400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133350</xdr:rowOff>
        </xdr:from>
        <xdr:to>
          <xdr:col>5</xdr:col>
          <xdr:colOff>82550</xdr:colOff>
          <xdr:row>8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133350</xdr:rowOff>
        </xdr:from>
        <xdr:to>
          <xdr:col>5</xdr:col>
          <xdr:colOff>254000</xdr:colOff>
          <xdr:row>9</xdr:row>
          <xdr:rowOff>25400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133350</xdr:rowOff>
        </xdr:from>
        <xdr:to>
          <xdr:col>5</xdr:col>
          <xdr:colOff>95250</xdr:colOff>
          <xdr:row>9</xdr:row>
          <xdr:rowOff>25400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133350</xdr:rowOff>
        </xdr:from>
        <xdr:to>
          <xdr:col>5</xdr:col>
          <xdr:colOff>254000</xdr:colOff>
          <xdr:row>10</xdr:row>
          <xdr:rowOff>25400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133350</xdr:rowOff>
        </xdr:from>
        <xdr:to>
          <xdr:col>5</xdr:col>
          <xdr:colOff>82550</xdr:colOff>
          <xdr:row>10</xdr:row>
          <xdr:rowOff>25400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139700</xdr:rowOff>
        </xdr:from>
        <xdr:to>
          <xdr:col>5</xdr:col>
          <xdr:colOff>254000</xdr:colOff>
          <xdr:row>11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146050</xdr:rowOff>
        </xdr:from>
        <xdr:to>
          <xdr:col>5</xdr:col>
          <xdr:colOff>101600</xdr:colOff>
          <xdr:row>11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133350</xdr:rowOff>
        </xdr:from>
        <xdr:to>
          <xdr:col>5</xdr:col>
          <xdr:colOff>254000</xdr:colOff>
          <xdr:row>12</xdr:row>
          <xdr:rowOff>25400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133350</xdr:rowOff>
        </xdr:from>
        <xdr:to>
          <xdr:col>5</xdr:col>
          <xdr:colOff>95250</xdr:colOff>
          <xdr:row>12</xdr:row>
          <xdr:rowOff>25400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133350</xdr:rowOff>
        </xdr:from>
        <xdr:to>
          <xdr:col>5</xdr:col>
          <xdr:colOff>254000</xdr:colOff>
          <xdr:row>13</xdr:row>
          <xdr:rowOff>25400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133350</xdr:rowOff>
        </xdr:from>
        <xdr:to>
          <xdr:col>5</xdr:col>
          <xdr:colOff>82550</xdr:colOff>
          <xdr:row>13</xdr:row>
          <xdr:rowOff>25400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133350</xdr:rowOff>
        </xdr:from>
        <xdr:to>
          <xdr:col>5</xdr:col>
          <xdr:colOff>254000</xdr:colOff>
          <xdr:row>14</xdr:row>
          <xdr:rowOff>25400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133350</xdr:rowOff>
        </xdr:from>
        <xdr:to>
          <xdr:col>5</xdr:col>
          <xdr:colOff>82550</xdr:colOff>
          <xdr:row>14</xdr:row>
          <xdr:rowOff>25400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133350</xdr:rowOff>
        </xdr:from>
        <xdr:to>
          <xdr:col>5</xdr:col>
          <xdr:colOff>254000</xdr:colOff>
          <xdr:row>15</xdr:row>
          <xdr:rowOff>25400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133350</xdr:rowOff>
        </xdr:from>
        <xdr:to>
          <xdr:col>5</xdr:col>
          <xdr:colOff>95250</xdr:colOff>
          <xdr:row>15</xdr:row>
          <xdr:rowOff>25400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133350</xdr:rowOff>
        </xdr:from>
        <xdr:to>
          <xdr:col>5</xdr:col>
          <xdr:colOff>254000</xdr:colOff>
          <xdr:row>16</xdr:row>
          <xdr:rowOff>25400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133350</xdr:rowOff>
        </xdr:from>
        <xdr:to>
          <xdr:col>5</xdr:col>
          <xdr:colOff>82550</xdr:colOff>
          <xdr:row>16</xdr:row>
          <xdr:rowOff>25400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139700</xdr:rowOff>
        </xdr:from>
        <xdr:to>
          <xdr:col>5</xdr:col>
          <xdr:colOff>254000</xdr:colOff>
          <xdr:row>17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146050</xdr:rowOff>
        </xdr:from>
        <xdr:to>
          <xdr:col>5</xdr:col>
          <xdr:colOff>101600</xdr:colOff>
          <xdr:row>17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133350</xdr:rowOff>
        </xdr:from>
        <xdr:to>
          <xdr:col>5</xdr:col>
          <xdr:colOff>254000</xdr:colOff>
          <xdr:row>18</xdr:row>
          <xdr:rowOff>25400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133350</xdr:rowOff>
        </xdr:from>
        <xdr:to>
          <xdr:col>5</xdr:col>
          <xdr:colOff>95250</xdr:colOff>
          <xdr:row>18</xdr:row>
          <xdr:rowOff>25400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133350</xdr:rowOff>
        </xdr:from>
        <xdr:to>
          <xdr:col>5</xdr:col>
          <xdr:colOff>254000</xdr:colOff>
          <xdr:row>19</xdr:row>
          <xdr:rowOff>25400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133350</xdr:rowOff>
        </xdr:from>
        <xdr:to>
          <xdr:col>5</xdr:col>
          <xdr:colOff>82550</xdr:colOff>
          <xdr:row>19</xdr:row>
          <xdr:rowOff>25400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133350</xdr:rowOff>
        </xdr:from>
        <xdr:to>
          <xdr:col>5</xdr:col>
          <xdr:colOff>254000</xdr:colOff>
          <xdr:row>20</xdr:row>
          <xdr:rowOff>25400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133350</xdr:rowOff>
        </xdr:from>
        <xdr:to>
          <xdr:col>5</xdr:col>
          <xdr:colOff>82550</xdr:colOff>
          <xdr:row>20</xdr:row>
          <xdr:rowOff>25400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133350</xdr:rowOff>
        </xdr:from>
        <xdr:to>
          <xdr:col>5</xdr:col>
          <xdr:colOff>254000</xdr:colOff>
          <xdr:row>21</xdr:row>
          <xdr:rowOff>25400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133350</xdr:rowOff>
        </xdr:from>
        <xdr:to>
          <xdr:col>5</xdr:col>
          <xdr:colOff>95250</xdr:colOff>
          <xdr:row>21</xdr:row>
          <xdr:rowOff>25400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133350</xdr:rowOff>
        </xdr:from>
        <xdr:to>
          <xdr:col>5</xdr:col>
          <xdr:colOff>254000</xdr:colOff>
          <xdr:row>22</xdr:row>
          <xdr:rowOff>25400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133350</xdr:rowOff>
        </xdr:from>
        <xdr:to>
          <xdr:col>5</xdr:col>
          <xdr:colOff>82550</xdr:colOff>
          <xdr:row>22</xdr:row>
          <xdr:rowOff>25400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139700</xdr:rowOff>
        </xdr:from>
        <xdr:to>
          <xdr:col>5</xdr:col>
          <xdr:colOff>254000</xdr:colOff>
          <xdr:row>23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146050</xdr:rowOff>
        </xdr:from>
        <xdr:to>
          <xdr:col>5</xdr:col>
          <xdr:colOff>101600</xdr:colOff>
          <xdr:row>23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133350</xdr:rowOff>
        </xdr:from>
        <xdr:to>
          <xdr:col>5</xdr:col>
          <xdr:colOff>254000</xdr:colOff>
          <xdr:row>24</xdr:row>
          <xdr:rowOff>25400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133350</xdr:rowOff>
        </xdr:from>
        <xdr:to>
          <xdr:col>5</xdr:col>
          <xdr:colOff>95250</xdr:colOff>
          <xdr:row>24</xdr:row>
          <xdr:rowOff>25400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133350</xdr:rowOff>
        </xdr:from>
        <xdr:to>
          <xdr:col>5</xdr:col>
          <xdr:colOff>254000</xdr:colOff>
          <xdr:row>25</xdr:row>
          <xdr:rowOff>25400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133350</xdr:rowOff>
        </xdr:from>
        <xdr:to>
          <xdr:col>5</xdr:col>
          <xdr:colOff>82550</xdr:colOff>
          <xdr:row>25</xdr:row>
          <xdr:rowOff>25400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133350</xdr:rowOff>
        </xdr:from>
        <xdr:to>
          <xdr:col>5</xdr:col>
          <xdr:colOff>254000</xdr:colOff>
          <xdr:row>26</xdr:row>
          <xdr:rowOff>25400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133350</xdr:rowOff>
        </xdr:from>
        <xdr:to>
          <xdr:col>5</xdr:col>
          <xdr:colOff>82550</xdr:colOff>
          <xdr:row>26</xdr:row>
          <xdr:rowOff>25400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133350</xdr:rowOff>
        </xdr:from>
        <xdr:to>
          <xdr:col>5</xdr:col>
          <xdr:colOff>254000</xdr:colOff>
          <xdr:row>27</xdr:row>
          <xdr:rowOff>25400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133350</xdr:rowOff>
        </xdr:from>
        <xdr:to>
          <xdr:col>5</xdr:col>
          <xdr:colOff>95250</xdr:colOff>
          <xdr:row>27</xdr:row>
          <xdr:rowOff>25400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133350</xdr:rowOff>
        </xdr:from>
        <xdr:to>
          <xdr:col>5</xdr:col>
          <xdr:colOff>254000</xdr:colOff>
          <xdr:row>28</xdr:row>
          <xdr:rowOff>25400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133350</xdr:rowOff>
        </xdr:from>
        <xdr:to>
          <xdr:col>5</xdr:col>
          <xdr:colOff>82550</xdr:colOff>
          <xdr:row>28</xdr:row>
          <xdr:rowOff>25400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139700</xdr:rowOff>
        </xdr:from>
        <xdr:to>
          <xdr:col>5</xdr:col>
          <xdr:colOff>254000</xdr:colOff>
          <xdr:row>29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146050</xdr:rowOff>
        </xdr:from>
        <xdr:to>
          <xdr:col>5</xdr:col>
          <xdr:colOff>101600</xdr:colOff>
          <xdr:row>29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133350</xdr:rowOff>
        </xdr:from>
        <xdr:to>
          <xdr:col>5</xdr:col>
          <xdr:colOff>254000</xdr:colOff>
          <xdr:row>30</xdr:row>
          <xdr:rowOff>19050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133350</xdr:rowOff>
        </xdr:from>
        <xdr:to>
          <xdr:col>5</xdr:col>
          <xdr:colOff>95250</xdr:colOff>
          <xdr:row>30</xdr:row>
          <xdr:rowOff>19050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133350</xdr:rowOff>
        </xdr:from>
        <xdr:to>
          <xdr:col>5</xdr:col>
          <xdr:colOff>254000</xdr:colOff>
          <xdr:row>31</xdr:row>
          <xdr:rowOff>19050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133350</xdr:rowOff>
        </xdr:from>
        <xdr:to>
          <xdr:col>5</xdr:col>
          <xdr:colOff>82550</xdr:colOff>
          <xdr:row>31</xdr:row>
          <xdr:rowOff>19050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133350</xdr:rowOff>
        </xdr:from>
        <xdr:to>
          <xdr:col>5</xdr:col>
          <xdr:colOff>254000</xdr:colOff>
          <xdr:row>32</xdr:row>
          <xdr:rowOff>25400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133350</xdr:rowOff>
        </xdr:from>
        <xdr:to>
          <xdr:col>5</xdr:col>
          <xdr:colOff>82550</xdr:colOff>
          <xdr:row>32</xdr:row>
          <xdr:rowOff>25400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133350</xdr:rowOff>
        </xdr:from>
        <xdr:to>
          <xdr:col>5</xdr:col>
          <xdr:colOff>254000</xdr:colOff>
          <xdr:row>33</xdr:row>
          <xdr:rowOff>25400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133350</xdr:rowOff>
        </xdr:from>
        <xdr:to>
          <xdr:col>5</xdr:col>
          <xdr:colOff>95250</xdr:colOff>
          <xdr:row>33</xdr:row>
          <xdr:rowOff>25400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133350</xdr:rowOff>
        </xdr:from>
        <xdr:to>
          <xdr:col>5</xdr:col>
          <xdr:colOff>254000</xdr:colOff>
          <xdr:row>34</xdr:row>
          <xdr:rowOff>25400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133350</xdr:rowOff>
        </xdr:from>
        <xdr:to>
          <xdr:col>5</xdr:col>
          <xdr:colOff>82550</xdr:colOff>
          <xdr:row>34</xdr:row>
          <xdr:rowOff>25400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139700</xdr:rowOff>
        </xdr:from>
        <xdr:to>
          <xdr:col>5</xdr:col>
          <xdr:colOff>254000</xdr:colOff>
          <xdr:row>35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146050</xdr:rowOff>
        </xdr:from>
        <xdr:to>
          <xdr:col>5</xdr:col>
          <xdr:colOff>101600</xdr:colOff>
          <xdr:row>35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133350</xdr:rowOff>
        </xdr:from>
        <xdr:to>
          <xdr:col>5</xdr:col>
          <xdr:colOff>254000</xdr:colOff>
          <xdr:row>36</xdr:row>
          <xdr:rowOff>25400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133350</xdr:rowOff>
        </xdr:from>
        <xdr:to>
          <xdr:col>5</xdr:col>
          <xdr:colOff>95250</xdr:colOff>
          <xdr:row>36</xdr:row>
          <xdr:rowOff>25400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133350</xdr:rowOff>
        </xdr:from>
        <xdr:to>
          <xdr:col>5</xdr:col>
          <xdr:colOff>254000</xdr:colOff>
          <xdr:row>37</xdr:row>
          <xdr:rowOff>25400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133350</xdr:rowOff>
        </xdr:from>
        <xdr:to>
          <xdr:col>5</xdr:col>
          <xdr:colOff>82550</xdr:colOff>
          <xdr:row>37</xdr:row>
          <xdr:rowOff>25400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133350</xdr:rowOff>
        </xdr:from>
        <xdr:to>
          <xdr:col>5</xdr:col>
          <xdr:colOff>254000</xdr:colOff>
          <xdr:row>38</xdr:row>
          <xdr:rowOff>25400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133350</xdr:rowOff>
        </xdr:from>
        <xdr:to>
          <xdr:col>5</xdr:col>
          <xdr:colOff>82550</xdr:colOff>
          <xdr:row>38</xdr:row>
          <xdr:rowOff>25400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133350</xdr:rowOff>
        </xdr:from>
        <xdr:to>
          <xdr:col>5</xdr:col>
          <xdr:colOff>254000</xdr:colOff>
          <xdr:row>39</xdr:row>
          <xdr:rowOff>15875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133350</xdr:rowOff>
        </xdr:from>
        <xdr:to>
          <xdr:col>5</xdr:col>
          <xdr:colOff>95250</xdr:colOff>
          <xdr:row>39</xdr:row>
          <xdr:rowOff>15875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146050</xdr:rowOff>
        </xdr:from>
        <xdr:to>
          <xdr:col>17</xdr:col>
          <xdr:colOff>254000</xdr:colOff>
          <xdr:row>3</xdr:row>
          <xdr:rowOff>25400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1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</xdr:row>
          <xdr:rowOff>146050</xdr:rowOff>
        </xdr:from>
        <xdr:to>
          <xdr:col>17</xdr:col>
          <xdr:colOff>101600</xdr:colOff>
          <xdr:row>3</xdr:row>
          <xdr:rowOff>25400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133350</xdr:rowOff>
        </xdr:from>
        <xdr:to>
          <xdr:col>17</xdr:col>
          <xdr:colOff>254000</xdr:colOff>
          <xdr:row>4</xdr:row>
          <xdr:rowOff>19050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1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133350</xdr:rowOff>
        </xdr:from>
        <xdr:to>
          <xdr:col>17</xdr:col>
          <xdr:colOff>95250</xdr:colOff>
          <xdr:row>4</xdr:row>
          <xdr:rowOff>19050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</xdr:row>
          <xdr:rowOff>133350</xdr:rowOff>
        </xdr:from>
        <xdr:to>
          <xdr:col>17</xdr:col>
          <xdr:colOff>254000</xdr:colOff>
          <xdr:row>5</xdr:row>
          <xdr:rowOff>19050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</xdr:row>
          <xdr:rowOff>133350</xdr:rowOff>
        </xdr:from>
        <xdr:to>
          <xdr:col>17</xdr:col>
          <xdr:colOff>82550</xdr:colOff>
          <xdr:row>5</xdr:row>
          <xdr:rowOff>19050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</xdr:row>
          <xdr:rowOff>133350</xdr:rowOff>
        </xdr:from>
        <xdr:to>
          <xdr:col>17</xdr:col>
          <xdr:colOff>254000</xdr:colOff>
          <xdr:row>6</xdr:row>
          <xdr:rowOff>25400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133350</xdr:rowOff>
        </xdr:from>
        <xdr:to>
          <xdr:col>17</xdr:col>
          <xdr:colOff>82550</xdr:colOff>
          <xdr:row>6</xdr:row>
          <xdr:rowOff>25400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5</xdr:row>
          <xdr:rowOff>133350</xdr:rowOff>
        </xdr:from>
        <xdr:to>
          <xdr:col>17</xdr:col>
          <xdr:colOff>254000</xdr:colOff>
          <xdr:row>7</xdr:row>
          <xdr:rowOff>25400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1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5</xdr:row>
          <xdr:rowOff>133350</xdr:rowOff>
        </xdr:from>
        <xdr:to>
          <xdr:col>17</xdr:col>
          <xdr:colOff>95250</xdr:colOff>
          <xdr:row>7</xdr:row>
          <xdr:rowOff>25400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1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6</xdr:row>
          <xdr:rowOff>133350</xdr:rowOff>
        </xdr:from>
        <xdr:to>
          <xdr:col>17</xdr:col>
          <xdr:colOff>254000</xdr:colOff>
          <xdr:row>8</xdr:row>
          <xdr:rowOff>25400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6</xdr:row>
          <xdr:rowOff>133350</xdr:rowOff>
        </xdr:from>
        <xdr:to>
          <xdr:col>17</xdr:col>
          <xdr:colOff>82550</xdr:colOff>
          <xdr:row>8</xdr:row>
          <xdr:rowOff>25400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</xdr:row>
          <xdr:rowOff>139700</xdr:rowOff>
        </xdr:from>
        <xdr:to>
          <xdr:col>17</xdr:col>
          <xdr:colOff>254000</xdr:colOff>
          <xdr:row>19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17</xdr:row>
          <xdr:rowOff>146050</xdr:rowOff>
        </xdr:from>
        <xdr:to>
          <xdr:col>17</xdr:col>
          <xdr:colOff>101600</xdr:colOff>
          <xdr:row>19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1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18</xdr:row>
          <xdr:rowOff>133350</xdr:rowOff>
        </xdr:from>
        <xdr:to>
          <xdr:col>17</xdr:col>
          <xdr:colOff>254000</xdr:colOff>
          <xdr:row>20</xdr:row>
          <xdr:rowOff>25400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1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18</xdr:row>
          <xdr:rowOff>133350</xdr:rowOff>
        </xdr:from>
        <xdr:to>
          <xdr:col>17</xdr:col>
          <xdr:colOff>95250</xdr:colOff>
          <xdr:row>20</xdr:row>
          <xdr:rowOff>25400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1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19</xdr:row>
          <xdr:rowOff>133350</xdr:rowOff>
        </xdr:from>
        <xdr:to>
          <xdr:col>17</xdr:col>
          <xdr:colOff>254000</xdr:colOff>
          <xdr:row>21</xdr:row>
          <xdr:rowOff>25400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1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19</xdr:row>
          <xdr:rowOff>133350</xdr:rowOff>
        </xdr:from>
        <xdr:to>
          <xdr:col>17</xdr:col>
          <xdr:colOff>82550</xdr:colOff>
          <xdr:row>21</xdr:row>
          <xdr:rowOff>25400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1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20</xdr:row>
          <xdr:rowOff>133350</xdr:rowOff>
        </xdr:from>
        <xdr:to>
          <xdr:col>17</xdr:col>
          <xdr:colOff>254000</xdr:colOff>
          <xdr:row>22</xdr:row>
          <xdr:rowOff>25400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1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20</xdr:row>
          <xdr:rowOff>133350</xdr:rowOff>
        </xdr:from>
        <xdr:to>
          <xdr:col>17</xdr:col>
          <xdr:colOff>82550</xdr:colOff>
          <xdr:row>22</xdr:row>
          <xdr:rowOff>25400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1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21</xdr:row>
          <xdr:rowOff>133350</xdr:rowOff>
        </xdr:from>
        <xdr:to>
          <xdr:col>17</xdr:col>
          <xdr:colOff>254000</xdr:colOff>
          <xdr:row>23</xdr:row>
          <xdr:rowOff>25400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1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21</xdr:row>
          <xdr:rowOff>133350</xdr:rowOff>
        </xdr:from>
        <xdr:to>
          <xdr:col>17</xdr:col>
          <xdr:colOff>95250</xdr:colOff>
          <xdr:row>23</xdr:row>
          <xdr:rowOff>25400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22</xdr:row>
          <xdr:rowOff>133350</xdr:rowOff>
        </xdr:from>
        <xdr:to>
          <xdr:col>17</xdr:col>
          <xdr:colOff>254000</xdr:colOff>
          <xdr:row>24</xdr:row>
          <xdr:rowOff>25400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1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22</xdr:row>
          <xdr:rowOff>133350</xdr:rowOff>
        </xdr:from>
        <xdr:to>
          <xdr:col>17</xdr:col>
          <xdr:colOff>82550</xdr:colOff>
          <xdr:row>24</xdr:row>
          <xdr:rowOff>25400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1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139700</xdr:rowOff>
        </xdr:from>
        <xdr:to>
          <xdr:col>17</xdr:col>
          <xdr:colOff>254000</xdr:colOff>
          <xdr:row>25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1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23</xdr:row>
          <xdr:rowOff>146050</xdr:rowOff>
        </xdr:from>
        <xdr:to>
          <xdr:col>17</xdr:col>
          <xdr:colOff>101600</xdr:colOff>
          <xdr:row>25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1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24</xdr:row>
          <xdr:rowOff>133350</xdr:rowOff>
        </xdr:from>
        <xdr:to>
          <xdr:col>17</xdr:col>
          <xdr:colOff>254000</xdr:colOff>
          <xdr:row>26</xdr:row>
          <xdr:rowOff>25400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1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24</xdr:row>
          <xdr:rowOff>133350</xdr:rowOff>
        </xdr:from>
        <xdr:to>
          <xdr:col>17</xdr:col>
          <xdr:colOff>95250</xdr:colOff>
          <xdr:row>26</xdr:row>
          <xdr:rowOff>25400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1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25</xdr:row>
          <xdr:rowOff>133350</xdr:rowOff>
        </xdr:from>
        <xdr:to>
          <xdr:col>17</xdr:col>
          <xdr:colOff>254000</xdr:colOff>
          <xdr:row>27</xdr:row>
          <xdr:rowOff>25400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1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25</xdr:row>
          <xdr:rowOff>133350</xdr:rowOff>
        </xdr:from>
        <xdr:to>
          <xdr:col>17</xdr:col>
          <xdr:colOff>82550</xdr:colOff>
          <xdr:row>27</xdr:row>
          <xdr:rowOff>25400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1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26</xdr:row>
          <xdr:rowOff>133350</xdr:rowOff>
        </xdr:from>
        <xdr:to>
          <xdr:col>17</xdr:col>
          <xdr:colOff>254000</xdr:colOff>
          <xdr:row>28</xdr:row>
          <xdr:rowOff>25400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1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26</xdr:row>
          <xdr:rowOff>133350</xdr:rowOff>
        </xdr:from>
        <xdr:to>
          <xdr:col>17</xdr:col>
          <xdr:colOff>82550</xdr:colOff>
          <xdr:row>28</xdr:row>
          <xdr:rowOff>25400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133350</xdr:rowOff>
        </xdr:from>
        <xdr:to>
          <xdr:col>17</xdr:col>
          <xdr:colOff>254000</xdr:colOff>
          <xdr:row>29</xdr:row>
          <xdr:rowOff>25400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1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27</xdr:row>
          <xdr:rowOff>133350</xdr:rowOff>
        </xdr:from>
        <xdr:to>
          <xdr:col>17</xdr:col>
          <xdr:colOff>95250</xdr:colOff>
          <xdr:row>29</xdr:row>
          <xdr:rowOff>25400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1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28</xdr:row>
          <xdr:rowOff>133350</xdr:rowOff>
        </xdr:from>
        <xdr:to>
          <xdr:col>17</xdr:col>
          <xdr:colOff>254000</xdr:colOff>
          <xdr:row>30</xdr:row>
          <xdr:rowOff>19050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1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28</xdr:row>
          <xdr:rowOff>133350</xdr:rowOff>
        </xdr:from>
        <xdr:to>
          <xdr:col>17</xdr:col>
          <xdr:colOff>82550</xdr:colOff>
          <xdr:row>30</xdr:row>
          <xdr:rowOff>19050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1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7</xdr:row>
          <xdr:rowOff>139700</xdr:rowOff>
        </xdr:from>
        <xdr:to>
          <xdr:col>17</xdr:col>
          <xdr:colOff>254000</xdr:colOff>
          <xdr:row>9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1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7</xdr:row>
          <xdr:rowOff>146050</xdr:rowOff>
        </xdr:from>
        <xdr:to>
          <xdr:col>17</xdr:col>
          <xdr:colOff>101600</xdr:colOff>
          <xdr:row>9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1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8</xdr:row>
          <xdr:rowOff>133350</xdr:rowOff>
        </xdr:from>
        <xdr:to>
          <xdr:col>17</xdr:col>
          <xdr:colOff>254000</xdr:colOff>
          <xdr:row>10</xdr:row>
          <xdr:rowOff>25400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1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8</xdr:row>
          <xdr:rowOff>133350</xdr:rowOff>
        </xdr:from>
        <xdr:to>
          <xdr:col>17</xdr:col>
          <xdr:colOff>95250</xdr:colOff>
          <xdr:row>10</xdr:row>
          <xdr:rowOff>25400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1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</xdr:row>
          <xdr:rowOff>133350</xdr:rowOff>
        </xdr:from>
        <xdr:to>
          <xdr:col>17</xdr:col>
          <xdr:colOff>254000</xdr:colOff>
          <xdr:row>11</xdr:row>
          <xdr:rowOff>25400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1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</xdr:row>
          <xdr:rowOff>133350</xdr:rowOff>
        </xdr:from>
        <xdr:to>
          <xdr:col>17</xdr:col>
          <xdr:colOff>82550</xdr:colOff>
          <xdr:row>11</xdr:row>
          <xdr:rowOff>25400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1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</xdr:row>
          <xdr:rowOff>133350</xdr:rowOff>
        </xdr:from>
        <xdr:to>
          <xdr:col>17</xdr:col>
          <xdr:colOff>254000</xdr:colOff>
          <xdr:row>12</xdr:row>
          <xdr:rowOff>25400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1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</xdr:row>
          <xdr:rowOff>133350</xdr:rowOff>
        </xdr:from>
        <xdr:to>
          <xdr:col>17</xdr:col>
          <xdr:colOff>82550</xdr:colOff>
          <xdr:row>12</xdr:row>
          <xdr:rowOff>25400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1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11</xdr:row>
          <xdr:rowOff>133350</xdr:rowOff>
        </xdr:from>
        <xdr:to>
          <xdr:col>17</xdr:col>
          <xdr:colOff>254000</xdr:colOff>
          <xdr:row>13</xdr:row>
          <xdr:rowOff>25400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1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133350</xdr:rowOff>
        </xdr:from>
        <xdr:to>
          <xdr:col>17</xdr:col>
          <xdr:colOff>95250</xdr:colOff>
          <xdr:row>13</xdr:row>
          <xdr:rowOff>25400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1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12</xdr:row>
          <xdr:rowOff>133350</xdr:rowOff>
        </xdr:from>
        <xdr:to>
          <xdr:col>17</xdr:col>
          <xdr:colOff>254000</xdr:colOff>
          <xdr:row>14</xdr:row>
          <xdr:rowOff>25400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1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</xdr:row>
          <xdr:rowOff>133350</xdr:rowOff>
        </xdr:from>
        <xdr:to>
          <xdr:col>17</xdr:col>
          <xdr:colOff>82550</xdr:colOff>
          <xdr:row>14</xdr:row>
          <xdr:rowOff>25400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1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13</xdr:row>
          <xdr:rowOff>133350</xdr:rowOff>
        </xdr:from>
        <xdr:to>
          <xdr:col>17</xdr:col>
          <xdr:colOff>254000</xdr:colOff>
          <xdr:row>15</xdr:row>
          <xdr:rowOff>25400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1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13</xdr:row>
          <xdr:rowOff>133350</xdr:rowOff>
        </xdr:from>
        <xdr:to>
          <xdr:col>17</xdr:col>
          <xdr:colOff>82550</xdr:colOff>
          <xdr:row>15</xdr:row>
          <xdr:rowOff>25400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1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14</xdr:row>
          <xdr:rowOff>133350</xdr:rowOff>
        </xdr:from>
        <xdr:to>
          <xdr:col>17</xdr:col>
          <xdr:colOff>254000</xdr:colOff>
          <xdr:row>16</xdr:row>
          <xdr:rowOff>25400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1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14</xdr:row>
          <xdr:rowOff>133350</xdr:rowOff>
        </xdr:from>
        <xdr:to>
          <xdr:col>17</xdr:col>
          <xdr:colOff>82550</xdr:colOff>
          <xdr:row>16</xdr:row>
          <xdr:rowOff>25400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1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15</xdr:row>
          <xdr:rowOff>133350</xdr:rowOff>
        </xdr:from>
        <xdr:to>
          <xdr:col>17</xdr:col>
          <xdr:colOff>254000</xdr:colOff>
          <xdr:row>17</xdr:row>
          <xdr:rowOff>25400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1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15</xdr:row>
          <xdr:rowOff>133350</xdr:rowOff>
        </xdr:from>
        <xdr:to>
          <xdr:col>17</xdr:col>
          <xdr:colOff>95250</xdr:colOff>
          <xdr:row>17</xdr:row>
          <xdr:rowOff>25400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1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16</xdr:row>
          <xdr:rowOff>133350</xdr:rowOff>
        </xdr:from>
        <xdr:to>
          <xdr:col>17</xdr:col>
          <xdr:colOff>254000</xdr:colOff>
          <xdr:row>18</xdr:row>
          <xdr:rowOff>25400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1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133350</xdr:rowOff>
        </xdr:from>
        <xdr:to>
          <xdr:col>17</xdr:col>
          <xdr:colOff>82550</xdr:colOff>
          <xdr:row>18</xdr:row>
          <xdr:rowOff>25400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1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26" Type="http://schemas.openxmlformats.org/officeDocument/2006/relationships/ctrlProp" Target="../ctrlProps/ctrlProp124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16" Type="http://schemas.openxmlformats.org/officeDocument/2006/relationships/ctrlProp" Target="../ctrlProps/ctrlProp114.xml"/><Relationship Id="rId124" Type="http://schemas.openxmlformats.org/officeDocument/2006/relationships/ctrlProp" Target="../ctrlProps/ctrlProp122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11" Type="http://schemas.openxmlformats.org/officeDocument/2006/relationships/ctrlProp" Target="../ctrlProps/ctrlProp10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1C70-64C8-49E3-9700-4DA7D6712299}">
  <sheetPr>
    <pageSetUpPr fitToPage="1"/>
  </sheetPr>
  <dimension ref="B1:AR45"/>
  <sheetViews>
    <sheetView tabSelected="1" defaultGridColor="0" colorId="27" workbookViewId="0">
      <selection activeCell="E26" sqref="E26:Z27"/>
    </sheetView>
  </sheetViews>
  <sheetFormatPr defaultColWidth="11.54296875" defaultRowHeight="12.5" x14ac:dyDescent="0.25"/>
  <cols>
    <col min="1" max="1" width="1.54296875" customWidth="1"/>
    <col min="2" max="2" width="26.453125" customWidth="1"/>
    <col min="3" max="22" width="3.6328125" style="1" customWidth="1"/>
    <col min="23" max="42" width="3.6328125" customWidth="1"/>
  </cols>
  <sheetData>
    <row r="1" spans="2:42" ht="21.65" customHeight="1" thickBot="1" x14ac:dyDescent="0.3">
      <c r="B1" s="100" t="s">
        <v>70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</row>
    <row r="2" spans="2:42" ht="13.5" thickBot="1" x14ac:dyDescent="0.35">
      <c r="B2" s="2" t="s">
        <v>0</v>
      </c>
      <c r="C2" s="101">
        <v>1</v>
      </c>
      <c r="D2" s="101"/>
      <c r="E2" s="99">
        <v>2</v>
      </c>
      <c r="F2" s="99"/>
      <c r="G2" s="99">
        <v>3</v>
      </c>
      <c r="H2" s="99"/>
      <c r="I2" s="99">
        <v>4</v>
      </c>
      <c r="J2" s="99"/>
      <c r="K2" s="99">
        <v>5</v>
      </c>
      <c r="L2" s="99"/>
      <c r="M2" s="99">
        <v>6</v>
      </c>
      <c r="N2" s="99"/>
      <c r="O2" s="99">
        <v>7</v>
      </c>
      <c r="P2" s="99"/>
      <c r="Q2" s="99">
        <v>8</v>
      </c>
      <c r="R2" s="99"/>
      <c r="S2" s="99">
        <v>9</v>
      </c>
      <c r="T2" s="99"/>
      <c r="U2" s="99">
        <v>10</v>
      </c>
      <c r="V2" s="99"/>
      <c r="W2" s="99">
        <v>11</v>
      </c>
      <c r="X2" s="99"/>
      <c r="Y2" s="99">
        <v>12</v>
      </c>
      <c r="Z2" s="99"/>
      <c r="AA2" s="99">
        <v>13</v>
      </c>
      <c r="AB2" s="99"/>
      <c r="AC2" s="99">
        <v>14</v>
      </c>
      <c r="AD2" s="99"/>
      <c r="AE2" s="99">
        <v>15</v>
      </c>
      <c r="AF2" s="99"/>
      <c r="AG2" s="99">
        <v>16</v>
      </c>
      <c r="AH2" s="99"/>
      <c r="AI2" s="99">
        <v>17</v>
      </c>
      <c r="AJ2" s="99"/>
      <c r="AK2" s="99">
        <v>18</v>
      </c>
      <c r="AL2" s="99"/>
      <c r="AM2" s="99">
        <v>19</v>
      </c>
      <c r="AN2" s="99"/>
      <c r="AO2" s="102">
        <v>20</v>
      </c>
      <c r="AP2" s="102"/>
    </row>
    <row r="3" spans="2:42" ht="13" x14ac:dyDescent="0.3">
      <c r="B3" s="3" t="s">
        <v>118</v>
      </c>
      <c r="C3" s="108">
        <v>0</v>
      </c>
      <c r="D3" s="108"/>
      <c r="E3" s="103">
        <f>SUM(C25-C26)</f>
        <v>0</v>
      </c>
      <c r="F3" s="103"/>
      <c r="G3" s="103">
        <f>SUM(E25-E26)</f>
        <v>0</v>
      </c>
      <c r="H3" s="103"/>
      <c r="I3" s="103">
        <f>SUM(G25-G26)</f>
        <v>0</v>
      </c>
      <c r="J3" s="103"/>
      <c r="K3" s="103">
        <f>SUM(I25-I26)</f>
        <v>0</v>
      </c>
      <c r="L3" s="103"/>
      <c r="M3" s="103">
        <f>SUM(K25-K26)</f>
        <v>0</v>
      </c>
      <c r="N3" s="103"/>
      <c r="O3" s="103">
        <f>SUM(M25-M26)</f>
        <v>0</v>
      </c>
      <c r="P3" s="103"/>
      <c r="Q3" s="103">
        <f>SUM(O25-O26)</f>
        <v>0</v>
      </c>
      <c r="R3" s="103"/>
      <c r="S3" s="103">
        <f>SUM(Q25-Q26)</f>
        <v>0</v>
      </c>
      <c r="T3" s="103"/>
      <c r="U3" s="103">
        <f>SUM(S25-S26)</f>
        <v>0</v>
      </c>
      <c r="V3" s="103"/>
      <c r="W3" s="103">
        <f>SUM(U25-U26)</f>
        <v>0</v>
      </c>
      <c r="X3" s="103"/>
      <c r="Y3" s="103">
        <f>SUM(W25-W26)</f>
        <v>0</v>
      </c>
      <c r="Z3" s="103"/>
      <c r="AA3" s="103">
        <f>SUM(Y25-Y26)</f>
        <v>0</v>
      </c>
      <c r="AB3" s="103"/>
      <c r="AC3" s="103">
        <f>SUM(AA25-AA26)</f>
        <v>0</v>
      </c>
      <c r="AD3" s="103"/>
      <c r="AE3" s="103">
        <f>SUM(AC25-AC26)</f>
        <v>0</v>
      </c>
      <c r="AF3" s="103"/>
      <c r="AG3" s="103">
        <f>SUM(AE25-AE26)</f>
        <v>0</v>
      </c>
      <c r="AH3" s="103"/>
      <c r="AI3" s="103">
        <f>SUM(AG25-AG26)</f>
        <v>0</v>
      </c>
      <c r="AJ3" s="103"/>
      <c r="AK3" s="103">
        <f>SUM(AI25-AI26)</f>
        <v>0</v>
      </c>
      <c r="AL3" s="103"/>
      <c r="AM3" s="103">
        <f>SUM(AK25-AK26)</f>
        <v>0</v>
      </c>
      <c r="AN3" s="103"/>
      <c r="AO3" s="104">
        <f>SUM(AM25-AM26)</f>
        <v>0</v>
      </c>
      <c r="AP3" s="104"/>
    </row>
    <row r="4" spans="2:42" x14ac:dyDescent="0.25">
      <c r="B4" s="81" t="s">
        <v>119</v>
      </c>
      <c r="C4" s="105"/>
      <c r="D4" s="105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7"/>
    </row>
    <row r="5" spans="2:42" x14ac:dyDescent="0.25">
      <c r="B5" s="81" t="s">
        <v>120</v>
      </c>
      <c r="C5" s="105"/>
      <c r="D5" s="105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7"/>
      <c r="AP5" s="107"/>
    </row>
    <row r="6" spans="2:42" x14ac:dyDescent="0.25">
      <c r="B6" s="20" t="s">
        <v>121</v>
      </c>
      <c r="C6" s="109"/>
      <c r="D6" s="109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1"/>
      <c r="AP6" s="111"/>
    </row>
    <row r="7" spans="2:42" ht="13" x14ac:dyDescent="0.3">
      <c r="B7" s="21" t="s">
        <v>68</v>
      </c>
      <c r="C7" s="112">
        <f>SUM(C3:C6)</f>
        <v>0</v>
      </c>
      <c r="D7" s="113"/>
      <c r="E7" s="113">
        <f t="shared" ref="E7" si="0">SUM(E3:E6)</f>
        <v>0</v>
      </c>
      <c r="F7" s="113"/>
      <c r="G7" s="113">
        <f t="shared" ref="G7" si="1">SUM(G3:G6)</f>
        <v>0</v>
      </c>
      <c r="H7" s="113"/>
      <c r="I7" s="113">
        <f t="shared" ref="I7" si="2">SUM(I3:I6)</f>
        <v>0</v>
      </c>
      <c r="J7" s="113"/>
      <c r="K7" s="113">
        <f t="shared" ref="K7" si="3">SUM(K3:K6)</f>
        <v>0</v>
      </c>
      <c r="L7" s="113"/>
      <c r="M7" s="113">
        <f t="shared" ref="M7" si="4">SUM(M3:M6)</f>
        <v>0</v>
      </c>
      <c r="N7" s="113"/>
      <c r="O7" s="113">
        <f t="shared" ref="O7" si="5">SUM(O3:O6)</f>
        <v>0</v>
      </c>
      <c r="P7" s="113"/>
      <c r="Q7" s="113">
        <f t="shared" ref="Q7" si="6">SUM(Q3:Q6)</f>
        <v>0</v>
      </c>
      <c r="R7" s="113"/>
      <c r="S7" s="113">
        <f t="shared" ref="S7" si="7">SUM(S3:S6)</f>
        <v>0</v>
      </c>
      <c r="T7" s="113"/>
      <c r="U7" s="113">
        <f t="shared" ref="U7" si="8">SUM(U3:U6)</f>
        <v>0</v>
      </c>
      <c r="V7" s="113"/>
      <c r="W7" s="113">
        <f t="shared" ref="W7" si="9">SUM(W3:W6)</f>
        <v>0</v>
      </c>
      <c r="X7" s="113"/>
      <c r="Y7" s="113">
        <f t="shared" ref="Y7" si="10">SUM(Y3:Y6)</f>
        <v>0</v>
      </c>
      <c r="Z7" s="113"/>
      <c r="AA7" s="113">
        <f t="shared" ref="AA7" si="11">SUM(AA3:AA6)</f>
        <v>0</v>
      </c>
      <c r="AB7" s="113"/>
      <c r="AC7" s="113">
        <f t="shared" ref="AC7" si="12">SUM(AC3:AC6)</f>
        <v>0</v>
      </c>
      <c r="AD7" s="113"/>
      <c r="AE7" s="113">
        <f t="shared" ref="AE7" si="13">SUM(AE3:AE6)</f>
        <v>0</v>
      </c>
      <c r="AF7" s="113"/>
      <c r="AG7" s="113">
        <f t="shared" ref="AG7" si="14">SUM(AG3:AG6)</f>
        <v>0</v>
      </c>
      <c r="AH7" s="113"/>
      <c r="AI7" s="113">
        <f t="shared" ref="AI7" si="15">SUM(AI3:AI6)</f>
        <v>0</v>
      </c>
      <c r="AJ7" s="113"/>
      <c r="AK7" s="113">
        <f t="shared" ref="AK7" si="16">SUM(AK3:AK6)</f>
        <v>0</v>
      </c>
      <c r="AL7" s="113"/>
      <c r="AM7" s="113">
        <f t="shared" ref="AM7" si="17">SUM(AM3:AM6)</f>
        <v>0</v>
      </c>
      <c r="AN7" s="113"/>
      <c r="AO7" s="113">
        <f t="shared" ref="AO7" si="18">SUM(AO3:AO6)</f>
        <v>0</v>
      </c>
      <c r="AP7" s="114"/>
    </row>
    <row r="8" spans="2:42" x14ac:dyDescent="0.25">
      <c r="B8" s="7" t="s">
        <v>1</v>
      </c>
      <c r="C8" s="105"/>
      <c r="D8" s="106"/>
      <c r="E8" s="115">
        <f>SUM(C8+C27-C28)</f>
        <v>0</v>
      </c>
      <c r="F8" s="115"/>
      <c r="G8" s="115">
        <f t="shared" ref="G8" si="19">SUM(E8+E27-E28)</f>
        <v>0</v>
      </c>
      <c r="H8" s="115"/>
      <c r="I8" s="115">
        <f t="shared" ref="I8" si="20">SUM(G8+G27-G28)</f>
        <v>0</v>
      </c>
      <c r="J8" s="115"/>
      <c r="K8" s="115">
        <f t="shared" ref="K8" si="21">SUM(I8+I27-I28)</f>
        <v>0</v>
      </c>
      <c r="L8" s="115"/>
      <c r="M8" s="115">
        <f t="shared" ref="M8" si="22">SUM(K8+K27-K28)</f>
        <v>0</v>
      </c>
      <c r="N8" s="115"/>
      <c r="O8" s="115">
        <f t="shared" ref="O8" si="23">SUM(M8+M27-M28)</f>
        <v>0</v>
      </c>
      <c r="P8" s="115"/>
      <c r="Q8" s="115">
        <f t="shared" ref="Q8" si="24">SUM(O8+O27-O28)</f>
        <v>0</v>
      </c>
      <c r="R8" s="115"/>
      <c r="S8" s="115">
        <f t="shared" ref="S8" si="25">SUM(Q8+Q27-Q28)</f>
        <v>0</v>
      </c>
      <c r="T8" s="115"/>
      <c r="U8" s="115">
        <f t="shared" ref="U8" si="26">SUM(S8+S27-S28)</f>
        <v>0</v>
      </c>
      <c r="V8" s="115"/>
      <c r="W8" s="115">
        <f t="shared" ref="W8" si="27">SUM(U8+U27-U28)</f>
        <v>0</v>
      </c>
      <c r="X8" s="115"/>
      <c r="Y8" s="115">
        <f t="shared" ref="Y8" si="28">SUM(W8+W27-W28)</f>
        <v>0</v>
      </c>
      <c r="Z8" s="115"/>
      <c r="AA8" s="115">
        <f t="shared" ref="AA8" si="29">SUM(Y8+Y27-Y28)</f>
        <v>0</v>
      </c>
      <c r="AB8" s="115"/>
      <c r="AC8" s="115">
        <f t="shared" ref="AC8" si="30">SUM(AA8+AA27-AA28)</f>
        <v>0</v>
      </c>
      <c r="AD8" s="115"/>
      <c r="AE8" s="115">
        <f t="shared" ref="AE8" si="31">SUM(AC8+AC27-AC28)</f>
        <v>0</v>
      </c>
      <c r="AF8" s="115"/>
      <c r="AG8" s="115">
        <f t="shared" ref="AG8" si="32">SUM(AE8+AE27-AE28)</f>
        <v>0</v>
      </c>
      <c r="AH8" s="115"/>
      <c r="AI8" s="115">
        <f t="shared" ref="AI8" si="33">SUM(AG8+AG27-AG28)</f>
        <v>0</v>
      </c>
      <c r="AJ8" s="115"/>
      <c r="AK8" s="115">
        <f t="shared" ref="AK8" si="34">SUM(AI8+AI27-AI28)</f>
        <v>0</v>
      </c>
      <c r="AL8" s="115"/>
      <c r="AM8" s="115">
        <f t="shared" ref="AM8" si="35">SUM(AK8+AK27-AK28)</f>
        <v>0</v>
      </c>
      <c r="AN8" s="115"/>
      <c r="AO8" s="115">
        <f t="shared" ref="AO8" si="36">SUM(AM8+AM27-AM28)</f>
        <v>0</v>
      </c>
      <c r="AP8" s="116"/>
    </row>
    <row r="9" spans="2:42" x14ac:dyDescent="0.25">
      <c r="B9" s="7" t="s">
        <v>2</v>
      </c>
      <c r="C9" s="105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</row>
    <row r="10" spans="2:42" ht="13" x14ac:dyDescent="0.3">
      <c r="B10" s="22" t="s">
        <v>3</v>
      </c>
      <c r="C10" s="117">
        <f>SUM(C7-SUM(C8:C9))</f>
        <v>0</v>
      </c>
      <c r="D10" s="118"/>
      <c r="E10" s="118">
        <f t="shared" ref="E10" si="37">SUM(E7-SUM(E8:E9))</f>
        <v>0</v>
      </c>
      <c r="F10" s="118"/>
      <c r="G10" s="118">
        <f t="shared" ref="G10" si="38">SUM(G7-SUM(G8:G9))</f>
        <v>0</v>
      </c>
      <c r="H10" s="118"/>
      <c r="I10" s="118">
        <f t="shared" ref="I10" si="39">SUM(I7-SUM(I8:I9))</f>
        <v>0</v>
      </c>
      <c r="J10" s="118"/>
      <c r="K10" s="118">
        <f t="shared" ref="K10" si="40">SUM(K7-SUM(K8:K9))</f>
        <v>0</v>
      </c>
      <c r="L10" s="118"/>
      <c r="M10" s="118">
        <f t="shared" ref="M10" si="41">SUM(M7-SUM(M8:M9))</f>
        <v>0</v>
      </c>
      <c r="N10" s="118"/>
      <c r="O10" s="118">
        <f t="shared" ref="O10" si="42">SUM(O7-SUM(O8:O9))</f>
        <v>0</v>
      </c>
      <c r="P10" s="118"/>
      <c r="Q10" s="118">
        <f t="shared" ref="Q10" si="43">SUM(Q7-SUM(Q8:Q9))</f>
        <v>0</v>
      </c>
      <c r="R10" s="118"/>
      <c r="S10" s="118">
        <f t="shared" ref="S10" si="44">SUM(S7-SUM(S8:S9))</f>
        <v>0</v>
      </c>
      <c r="T10" s="118"/>
      <c r="U10" s="118">
        <f t="shared" ref="U10" si="45">SUM(U7-SUM(U8:U9))</f>
        <v>0</v>
      </c>
      <c r="V10" s="118"/>
      <c r="W10" s="118">
        <f t="shared" ref="W10" si="46">SUM(W7-SUM(W8:W9))</f>
        <v>0</v>
      </c>
      <c r="X10" s="118"/>
      <c r="Y10" s="118">
        <f t="shared" ref="Y10" si="47">SUM(Y7-SUM(Y8:Y9))</f>
        <v>0</v>
      </c>
      <c r="Z10" s="118"/>
      <c r="AA10" s="118">
        <f t="shared" ref="AA10" si="48">SUM(AA7-SUM(AA8:AA9))</f>
        <v>0</v>
      </c>
      <c r="AB10" s="118"/>
      <c r="AC10" s="118">
        <f t="shared" ref="AC10" si="49">SUM(AC7-SUM(AC8:AC9))</f>
        <v>0</v>
      </c>
      <c r="AD10" s="118"/>
      <c r="AE10" s="118">
        <f t="shared" ref="AE10" si="50">SUM(AE7-SUM(AE8:AE9))</f>
        <v>0</v>
      </c>
      <c r="AF10" s="118"/>
      <c r="AG10" s="118">
        <f t="shared" ref="AG10" si="51">SUM(AG7-SUM(AG8:AG9))</f>
        <v>0</v>
      </c>
      <c r="AH10" s="118"/>
      <c r="AI10" s="118">
        <f t="shared" ref="AI10" si="52">SUM(AI7-SUM(AI8:AI9))</f>
        <v>0</v>
      </c>
      <c r="AJ10" s="118"/>
      <c r="AK10" s="118">
        <f t="shared" ref="AK10" si="53">SUM(AK7-SUM(AK8:AK9))</f>
        <v>0</v>
      </c>
      <c r="AL10" s="118"/>
      <c r="AM10" s="118">
        <f t="shared" ref="AM10" si="54">SUM(AM7-SUM(AM8:AM9))</f>
        <v>0</v>
      </c>
      <c r="AN10" s="118"/>
      <c r="AO10" s="118">
        <f t="shared" ref="AO10" si="55">SUM(AO7-SUM(AO8:AO9))</f>
        <v>0</v>
      </c>
      <c r="AP10" s="119"/>
    </row>
    <row r="11" spans="2:42" x14ac:dyDescent="0.25">
      <c r="B11" s="4" t="s">
        <v>4</v>
      </c>
      <c r="C11" s="23"/>
      <c r="D11" s="24"/>
      <c r="E11" s="25"/>
      <c r="F11" s="24"/>
      <c r="G11" s="25"/>
      <c r="H11" s="24"/>
      <c r="I11" s="25"/>
      <c r="J11" s="24"/>
      <c r="K11" s="25"/>
      <c r="L11" s="24"/>
      <c r="M11" s="25"/>
      <c r="N11" s="24"/>
      <c r="O11" s="25"/>
      <c r="P11" s="24"/>
      <c r="Q11" s="25"/>
      <c r="R11" s="24"/>
      <c r="S11" s="25"/>
      <c r="T11" s="24"/>
      <c r="U11" s="25"/>
      <c r="V11" s="24"/>
      <c r="W11" s="25"/>
      <c r="X11" s="24"/>
      <c r="Y11" s="25"/>
      <c r="Z11" s="24"/>
      <c r="AA11" s="25"/>
      <c r="AB11" s="24"/>
      <c r="AC11" s="25"/>
      <c r="AD11" s="24"/>
      <c r="AE11" s="25"/>
      <c r="AF11" s="24"/>
      <c r="AG11" s="25"/>
      <c r="AH11" s="24"/>
      <c r="AI11" s="25"/>
      <c r="AJ11" s="24"/>
      <c r="AK11" s="25"/>
      <c r="AL11" s="24"/>
      <c r="AM11" s="25"/>
      <c r="AN11" s="24"/>
      <c r="AO11" s="25"/>
      <c r="AP11" s="26"/>
    </row>
    <row r="12" spans="2:42" x14ac:dyDescent="0.25">
      <c r="B12" s="5"/>
      <c r="C12" s="23"/>
      <c r="D12" s="24"/>
      <c r="E12" s="25"/>
      <c r="F12" s="24"/>
      <c r="G12" s="25"/>
      <c r="H12" s="24"/>
      <c r="I12" s="25"/>
      <c r="J12" s="24"/>
      <c r="K12" s="25"/>
      <c r="L12" s="24"/>
      <c r="M12" s="25"/>
      <c r="N12" s="24"/>
      <c r="O12" s="25"/>
      <c r="P12" s="24"/>
      <c r="Q12" s="25"/>
      <c r="R12" s="24"/>
      <c r="S12" s="25"/>
      <c r="T12" s="24"/>
      <c r="U12" s="25"/>
      <c r="V12" s="24"/>
      <c r="W12" s="25"/>
      <c r="X12" s="24"/>
      <c r="Y12" s="25"/>
      <c r="Z12" s="24"/>
      <c r="AA12" s="25"/>
      <c r="AB12" s="24"/>
      <c r="AC12" s="25"/>
      <c r="AD12" s="24"/>
      <c r="AE12" s="25"/>
      <c r="AF12" s="24"/>
      <c r="AG12" s="25"/>
      <c r="AH12" s="24"/>
      <c r="AI12" s="25"/>
      <c r="AJ12" s="24"/>
      <c r="AK12" s="25"/>
      <c r="AL12" s="24"/>
      <c r="AM12" s="25"/>
      <c r="AN12" s="24"/>
      <c r="AO12" s="25"/>
      <c r="AP12" s="26"/>
    </row>
    <row r="13" spans="2:42" x14ac:dyDescent="0.25">
      <c r="B13" s="5"/>
      <c r="C13" s="23"/>
      <c r="D13" s="24"/>
      <c r="E13" s="25"/>
      <c r="F13" s="24"/>
      <c r="G13" s="25"/>
      <c r="H13" s="24"/>
      <c r="I13" s="25"/>
      <c r="J13" s="24"/>
      <c r="K13" s="25"/>
      <c r="L13" s="24"/>
      <c r="M13" s="25"/>
      <c r="N13" s="24"/>
      <c r="O13" s="25"/>
      <c r="P13" s="24"/>
      <c r="Q13" s="25"/>
      <c r="R13" s="24"/>
      <c r="S13" s="25"/>
      <c r="T13" s="24"/>
      <c r="U13" s="25"/>
      <c r="V13" s="24"/>
      <c r="W13" s="25"/>
      <c r="X13" s="24"/>
      <c r="Y13" s="25"/>
      <c r="Z13" s="24"/>
      <c r="AA13" s="25"/>
      <c r="AB13" s="24"/>
      <c r="AC13" s="25"/>
      <c r="AD13" s="24"/>
      <c r="AE13" s="25"/>
      <c r="AF13" s="24"/>
      <c r="AG13" s="25"/>
      <c r="AH13" s="24"/>
      <c r="AI13" s="25"/>
      <c r="AJ13" s="24"/>
      <c r="AK13" s="25"/>
      <c r="AL13" s="24"/>
      <c r="AM13" s="25"/>
      <c r="AN13" s="24"/>
      <c r="AO13" s="25"/>
      <c r="AP13" s="26"/>
    </row>
    <row r="14" spans="2:42" x14ac:dyDescent="0.25">
      <c r="B14" s="5"/>
      <c r="C14" s="23"/>
      <c r="D14" s="24"/>
      <c r="E14" s="25"/>
      <c r="F14" s="24"/>
      <c r="G14" s="25"/>
      <c r="H14" s="24"/>
      <c r="I14" s="25"/>
      <c r="J14" s="24"/>
      <c r="K14" s="25"/>
      <c r="L14" s="24"/>
      <c r="M14" s="25"/>
      <c r="N14" s="24"/>
      <c r="O14" s="25"/>
      <c r="P14" s="24"/>
      <c r="Q14" s="25"/>
      <c r="R14" s="24"/>
      <c r="S14" s="25"/>
      <c r="T14" s="24"/>
      <c r="U14" s="25"/>
      <c r="V14" s="24"/>
      <c r="W14" s="25"/>
      <c r="X14" s="24"/>
      <c r="Y14" s="25"/>
      <c r="Z14" s="24"/>
      <c r="AA14" s="25"/>
      <c r="AB14" s="24"/>
      <c r="AC14" s="25"/>
      <c r="AD14" s="24"/>
      <c r="AE14" s="25"/>
      <c r="AF14" s="24"/>
      <c r="AG14" s="25"/>
      <c r="AH14" s="24"/>
      <c r="AI14" s="25"/>
      <c r="AJ14" s="24"/>
      <c r="AK14" s="25"/>
      <c r="AL14" s="24"/>
      <c r="AM14" s="25"/>
      <c r="AN14" s="24"/>
      <c r="AO14" s="25"/>
      <c r="AP14" s="26"/>
    </row>
    <row r="15" spans="2:42" x14ac:dyDescent="0.25">
      <c r="B15" s="6"/>
      <c r="C15" s="27"/>
      <c r="D15" s="28"/>
      <c r="E15" s="29"/>
      <c r="F15" s="28"/>
      <c r="G15" s="29"/>
      <c r="H15" s="28"/>
      <c r="I15" s="29"/>
      <c r="J15" s="28"/>
      <c r="K15" s="29"/>
      <c r="L15" s="28"/>
      <c r="M15" s="29"/>
      <c r="N15" s="28"/>
      <c r="O15" s="29"/>
      <c r="P15" s="28"/>
      <c r="Q15" s="29"/>
      <c r="R15" s="28"/>
      <c r="S15" s="29"/>
      <c r="T15" s="28"/>
      <c r="U15" s="29"/>
      <c r="V15" s="28"/>
      <c r="W15" s="29"/>
      <c r="X15" s="28"/>
      <c r="Y15" s="29"/>
      <c r="Z15" s="28"/>
      <c r="AA15" s="29"/>
      <c r="AB15" s="28"/>
      <c r="AC15" s="29"/>
      <c r="AD15" s="28"/>
      <c r="AE15" s="29"/>
      <c r="AF15" s="28"/>
      <c r="AG15" s="29"/>
      <c r="AH15" s="28"/>
      <c r="AI15" s="29"/>
      <c r="AJ15" s="28"/>
      <c r="AK15" s="29"/>
      <c r="AL15" s="28"/>
      <c r="AM15" s="29"/>
      <c r="AN15" s="28"/>
      <c r="AO15" s="29"/>
      <c r="AP15" s="30"/>
    </row>
    <row r="16" spans="2:42" x14ac:dyDescent="0.25">
      <c r="B16" s="4" t="s">
        <v>5</v>
      </c>
      <c r="C16" s="23"/>
      <c r="D16" s="24"/>
      <c r="E16" s="25"/>
      <c r="F16" s="24"/>
      <c r="G16" s="25"/>
      <c r="H16" s="24"/>
      <c r="I16" s="25"/>
      <c r="J16" s="24"/>
      <c r="K16" s="25"/>
      <c r="L16" s="24"/>
      <c r="M16" s="25"/>
      <c r="N16" s="24"/>
      <c r="O16" s="25"/>
      <c r="P16" s="24"/>
      <c r="Q16" s="25"/>
      <c r="R16" s="24"/>
      <c r="S16" s="25"/>
      <c r="T16" s="24"/>
      <c r="U16" s="25"/>
      <c r="V16" s="24"/>
      <c r="W16" s="25"/>
      <c r="X16" s="24"/>
      <c r="Y16" s="25"/>
      <c r="Z16" s="24"/>
      <c r="AA16" s="25"/>
      <c r="AB16" s="24"/>
      <c r="AC16" s="25"/>
      <c r="AD16" s="24"/>
      <c r="AE16" s="25"/>
      <c r="AF16" s="24"/>
      <c r="AG16" s="25"/>
      <c r="AH16" s="24"/>
      <c r="AI16" s="25"/>
      <c r="AJ16" s="24"/>
      <c r="AK16" s="25"/>
      <c r="AL16" s="24"/>
      <c r="AM16" s="25"/>
      <c r="AN16" s="24"/>
      <c r="AO16" s="25"/>
      <c r="AP16" s="26"/>
    </row>
    <row r="17" spans="2:44" x14ac:dyDescent="0.25">
      <c r="B17" s="5"/>
      <c r="C17" s="23"/>
      <c r="D17" s="24"/>
      <c r="E17" s="25"/>
      <c r="F17" s="24"/>
      <c r="G17" s="25"/>
      <c r="H17" s="24"/>
      <c r="I17" s="25"/>
      <c r="J17" s="24"/>
      <c r="K17" s="25"/>
      <c r="L17" s="24"/>
      <c r="M17" s="25"/>
      <c r="N17" s="24"/>
      <c r="O17" s="25"/>
      <c r="P17" s="24"/>
      <c r="Q17" s="25"/>
      <c r="R17" s="24"/>
      <c r="S17" s="25"/>
      <c r="T17" s="24"/>
      <c r="U17" s="25"/>
      <c r="V17" s="24"/>
      <c r="W17" s="25"/>
      <c r="X17" s="24"/>
      <c r="Y17" s="25"/>
      <c r="Z17" s="24"/>
      <c r="AA17" s="25"/>
      <c r="AB17" s="24"/>
      <c r="AC17" s="25"/>
      <c r="AD17" s="24"/>
      <c r="AE17" s="25"/>
      <c r="AF17" s="24"/>
      <c r="AG17" s="25"/>
      <c r="AH17" s="24"/>
      <c r="AI17" s="25"/>
      <c r="AJ17" s="24"/>
      <c r="AK17" s="25"/>
      <c r="AL17" s="24"/>
      <c r="AM17" s="25"/>
      <c r="AN17" s="24"/>
      <c r="AO17" s="25"/>
      <c r="AP17" s="26"/>
    </row>
    <row r="18" spans="2:44" x14ac:dyDescent="0.25">
      <c r="B18" s="5"/>
      <c r="C18" s="23"/>
      <c r="D18" s="24"/>
      <c r="E18" s="25"/>
      <c r="F18" s="24"/>
      <c r="G18" s="25"/>
      <c r="H18" s="24"/>
      <c r="I18" s="25"/>
      <c r="J18" s="24"/>
      <c r="K18" s="25"/>
      <c r="L18" s="24"/>
      <c r="M18" s="25"/>
      <c r="N18" s="24"/>
      <c r="O18" s="25"/>
      <c r="P18" s="24"/>
      <c r="Q18" s="25"/>
      <c r="R18" s="24"/>
      <c r="S18" s="25"/>
      <c r="T18" s="24"/>
      <c r="U18" s="25"/>
      <c r="V18" s="24"/>
      <c r="W18" s="25"/>
      <c r="X18" s="24"/>
      <c r="Y18" s="25"/>
      <c r="Z18" s="24"/>
      <c r="AA18" s="25"/>
      <c r="AB18" s="24"/>
      <c r="AC18" s="25"/>
      <c r="AD18" s="24"/>
      <c r="AE18" s="25"/>
      <c r="AF18" s="24"/>
      <c r="AG18" s="25"/>
      <c r="AH18" s="24"/>
      <c r="AI18" s="25"/>
      <c r="AJ18" s="24"/>
      <c r="AK18" s="25"/>
      <c r="AL18" s="24"/>
      <c r="AM18" s="25"/>
      <c r="AN18" s="24"/>
      <c r="AO18" s="25"/>
      <c r="AP18" s="26"/>
    </row>
    <row r="19" spans="2:44" x14ac:dyDescent="0.25">
      <c r="B19" s="5"/>
      <c r="C19" s="23"/>
      <c r="D19" s="24"/>
      <c r="E19" s="25"/>
      <c r="F19" s="24"/>
      <c r="G19" s="25"/>
      <c r="H19" s="24"/>
      <c r="I19" s="25"/>
      <c r="J19" s="24"/>
      <c r="K19" s="25"/>
      <c r="L19" s="24"/>
      <c r="M19" s="25"/>
      <c r="N19" s="24"/>
      <c r="O19" s="25"/>
      <c r="P19" s="24"/>
      <c r="Q19" s="25"/>
      <c r="R19" s="24"/>
      <c r="S19" s="25"/>
      <c r="T19" s="24"/>
      <c r="U19" s="25"/>
      <c r="V19" s="24"/>
      <c r="W19" s="25"/>
      <c r="X19" s="24"/>
      <c r="Y19" s="25"/>
      <c r="Z19" s="24"/>
      <c r="AA19" s="25"/>
      <c r="AB19" s="24"/>
      <c r="AC19" s="25"/>
      <c r="AD19" s="24"/>
      <c r="AE19" s="25"/>
      <c r="AF19" s="24"/>
      <c r="AG19" s="25"/>
      <c r="AH19" s="24"/>
      <c r="AI19" s="25"/>
      <c r="AJ19" s="24"/>
      <c r="AK19" s="25"/>
      <c r="AL19" s="24"/>
      <c r="AM19" s="25"/>
      <c r="AN19" s="24"/>
      <c r="AO19" s="25"/>
      <c r="AP19" s="26"/>
    </row>
    <row r="20" spans="2:44" x14ac:dyDescent="0.25">
      <c r="B20" s="5"/>
      <c r="C20" s="23"/>
      <c r="D20" s="24"/>
      <c r="E20" s="25"/>
      <c r="F20" s="24"/>
      <c r="G20" s="25"/>
      <c r="H20" s="24"/>
      <c r="I20" s="25"/>
      <c r="J20" s="24"/>
      <c r="K20" s="25"/>
      <c r="L20" s="24"/>
      <c r="M20" s="25"/>
      <c r="N20" s="24"/>
      <c r="O20" s="25"/>
      <c r="P20" s="24"/>
      <c r="Q20" s="25"/>
      <c r="R20" s="24"/>
      <c r="S20" s="25"/>
      <c r="T20" s="24"/>
      <c r="U20" s="25"/>
      <c r="V20" s="24"/>
      <c r="W20" s="25"/>
      <c r="X20" s="24"/>
      <c r="Y20" s="25"/>
      <c r="Z20" s="24"/>
      <c r="AA20" s="25"/>
      <c r="AB20" s="24"/>
      <c r="AC20" s="25"/>
      <c r="AD20" s="24"/>
      <c r="AE20" s="25"/>
      <c r="AF20" s="24"/>
      <c r="AG20" s="25"/>
      <c r="AH20" s="24"/>
      <c r="AI20" s="25"/>
      <c r="AJ20" s="24"/>
      <c r="AK20" s="25"/>
      <c r="AL20" s="24"/>
      <c r="AM20" s="25"/>
      <c r="AN20" s="24"/>
      <c r="AO20" s="25"/>
      <c r="AP20" s="26"/>
    </row>
    <row r="21" spans="2:44" x14ac:dyDescent="0.25">
      <c r="B21" s="5"/>
      <c r="C21" s="23"/>
      <c r="D21" s="24"/>
      <c r="E21" s="25"/>
      <c r="F21" s="24"/>
      <c r="G21" s="25"/>
      <c r="H21" s="24"/>
      <c r="I21" s="25"/>
      <c r="J21" s="24"/>
      <c r="K21" s="25"/>
      <c r="L21" s="24"/>
      <c r="M21" s="25"/>
      <c r="N21" s="24"/>
      <c r="O21" s="25"/>
      <c r="P21" s="24"/>
      <c r="Q21" s="25"/>
      <c r="R21" s="24"/>
      <c r="S21" s="25"/>
      <c r="T21" s="24"/>
      <c r="U21" s="25"/>
      <c r="V21" s="24"/>
      <c r="W21" s="25"/>
      <c r="X21" s="24"/>
      <c r="Y21" s="25"/>
      <c r="Z21" s="24"/>
      <c r="AA21" s="25"/>
      <c r="AB21" s="24"/>
      <c r="AC21" s="25"/>
      <c r="AD21" s="24"/>
      <c r="AE21" s="25"/>
      <c r="AF21" s="24"/>
      <c r="AG21" s="25"/>
      <c r="AH21" s="24"/>
      <c r="AI21" s="25"/>
      <c r="AJ21" s="24"/>
      <c r="AK21" s="25"/>
      <c r="AL21" s="24"/>
      <c r="AM21" s="25"/>
      <c r="AN21" s="24"/>
      <c r="AO21" s="25"/>
      <c r="AP21" s="26"/>
    </row>
    <row r="22" spans="2:44" x14ac:dyDescent="0.25">
      <c r="B22" s="5"/>
      <c r="C22" s="23"/>
      <c r="D22" s="24"/>
      <c r="E22" s="25"/>
      <c r="F22" s="24"/>
      <c r="G22" s="25"/>
      <c r="H22" s="24"/>
      <c r="I22" s="25"/>
      <c r="J22" s="24"/>
      <c r="K22" s="25"/>
      <c r="L22" s="24"/>
      <c r="M22" s="25"/>
      <c r="N22" s="24"/>
      <c r="O22" s="25"/>
      <c r="P22" s="24"/>
      <c r="Q22" s="25"/>
      <c r="R22" s="24"/>
      <c r="S22" s="25"/>
      <c r="T22" s="24"/>
      <c r="U22" s="25"/>
      <c r="V22" s="24"/>
      <c r="W22" s="25"/>
      <c r="X22" s="24"/>
      <c r="Y22" s="25"/>
      <c r="Z22" s="24"/>
      <c r="AA22" s="25"/>
      <c r="AB22" s="24"/>
      <c r="AC22" s="25"/>
      <c r="AD22" s="24"/>
      <c r="AE22" s="25"/>
      <c r="AF22" s="24"/>
      <c r="AG22" s="25"/>
      <c r="AH22" s="24"/>
      <c r="AI22" s="25"/>
      <c r="AJ22" s="24"/>
      <c r="AK22" s="25"/>
      <c r="AL22" s="24"/>
      <c r="AM22" s="25"/>
      <c r="AN22" s="24"/>
      <c r="AO22" s="25"/>
      <c r="AP22" s="26"/>
    </row>
    <row r="23" spans="2:44" x14ac:dyDescent="0.25">
      <c r="B23" s="5"/>
      <c r="C23" s="23"/>
      <c r="D23" s="24"/>
      <c r="E23" s="25"/>
      <c r="F23" s="24"/>
      <c r="G23" s="25"/>
      <c r="H23" s="24"/>
      <c r="I23" s="25"/>
      <c r="J23" s="24"/>
      <c r="K23" s="25"/>
      <c r="L23" s="24"/>
      <c r="M23" s="25"/>
      <c r="N23" s="24"/>
      <c r="O23" s="25"/>
      <c r="P23" s="24"/>
      <c r="Q23" s="25"/>
      <c r="R23" s="24"/>
      <c r="S23" s="25"/>
      <c r="T23" s="24"/>
      <c r="U23" s="25"/>
      <c r="V23" s="24"/>
      <c r="W23" s="25"/>
      <c r="X23" s="24"/>
      <c r="Y23" s="25"/>
      <c r="Z23" s="24"/>
      <c r="AA23" s="25"/>
      <c r="AB23" s="24"/>
      <c r="AC23" s="25"/>
      <c r="AD23" s="24"/>
      <c r="AE23" s="25"/>
      <c r="AF23" s="24"/>
      <c r="AG23" s="25"/>
      <c r="AH23" s="24"/>
      <c r="AI23" s="25"/>
      <c r="AJ23" s="24"/>
      <c r="AK23" s="25"/>
      <c r="AL23" s="24"/>
      <c r="AM23" s="25"/>
      <c r="AN23" s="24"/>
      <c r="AO23" s="25"/>
      <c r="AP23" s="26"/>
    </row>
    <row r="24" spans="2:44" x14ac:dyDescent="0.25">
      <c r="B24" s="6"/>
      <c r="C24" s="27"/>
      <c r="D24" s="28"/>
      <c r="E24" s="29"/>
      <c r="F24" s="28"/>
      <c r="G24" s="29"/>
      <c r="H24" s="28"/>
      <c r="I24" s="29"/>
      <c r="J24" s="28"/>
      <c r="K24" s="29"/>
      <c r="L24" s="28"/>
      <c r="M24" s="29"/>
      <c r="N24" s="28"/>
      <c r="O24" s="29"/>
      <c r="P24" s="28"/>
      <c r="Q24" s="29"/>
      <c r="R24" s="28"/>
      <c r="S24" s="29"/>
      <c r="T24" s="28"/>
      <c r="U24" s="29"/>
      <c r="V24" s="28"/>
      <c r="W24" s="29"/>
      <c r="X24" s="28"/>
      <c r="Y24" s="29"/>
      <c r="Z24" s="28"/>
      <c r="AA24" s="29"/>
      <c r="AB24" s="28"/>
      <c r="AC24" s="29"/>
      <c r="AD24" s="28"/>
      <c r="AE24" s="29"/>
      <c r="AF24" s="28"/>
      <c r="AG24" s="29"/>
      <c r="AH24" s="28"/>
      <c r="AI24" s="29"/>
      <c r="AJ24" s="28"/>
      <c r="AK24" s="29"/>
      <c r="AL24" s="28"/>
      <c r="AM24" s="29"/>
      <c r="AN24" s="28"/>
      <c r="AO24" s="29"/>
      <c r="AP24" s="30"/>
    </row>
    <row r="25" spans="2:44" ht="13" x14ac:dyDescent="0.3">
      <c r="B25" s="18" t="s">
        <v>6</v>
      </c>
      <c r="C25" s="120">
        <f>SUM(C10-SUM(C11:C24))</f>
        <v>0</v>
      </c>
      <c r="D25" s="121"/>
      <c r="E25" s="121">
        <f t="shared" ref="E25" si="56">SUM(E10-SUM(E11:E24))</f>
        <v>0</v>
      </c>
      <c r="F25" s="121"/>
      <c r="G25" s="121">
        <f t="shared" ref="G25" si="57">SUM(G10-SUM(G11:G24))</f>
        <v>0</v>
      </c>
      <c r="H25" s="121"/>
      <c r="I25" s="121">
        <f t="shared" ref="I25" si="58">SUM(I10-SUM(I11:I24))</f>
        <v>0</v>
      </c>
      <c r="J25" s="121"/>
      <c r="K25" s="121">
        <f t="shared" ref="K25" si="59">SUM(K10-SUM(K11:K24))</f>
        <v>0</v>
      </c>
      <c r="L25" s="121"/>
      <c r="M25" s="121">
        <f t="shared" ref="M25" si="60">SUM(M10-SUM(M11:M24))</f>
        <v>0</v>
      </c>
      <c r="N25" s="121"/>
      <c r="O25" s="121">
        <f t="shared" ref="O25" si="61">SUM(O10-SUM(O11:O24))</f>
        <v>0</v>
      </c>
      <c r="P25" s="121"/>
      <c r="Q25" s="121">
        <f t="shared" ref="Q25" si="62">SUM(Q10-SUM(Q11:Q24))</f>
        <v>0</v>
      </c>
      <c r="R25" s="121"/>
      <c r="S25" s="121">
        <f t="shared" ref="S25" si="63">SUM(S10-SUM(S11:S24))</f>
        <v>0</v>
      </c>
      <c r="T25" s="121"/>
      <c r="U25" s="121">
        <f t="shared" ref="U25" si="64">SUM(U10-SUM(U11:U24))</f>
        <v>0</v>
      </c>
      <c r="V25" s="121"/>
      <c r="W25" s="121">
        <f t="shared" ref="W25" si="65">SUM(W10-SUM(W11:W24))</f>
        <v>0</v>
      </c>
      <c r="X25" s="121"/>
      <c r="Y25" s="121">
        <f t="shared" ref="Y25" si="66">SUM(Y10-SUM(Y11:Y24))</f>
        <v>0</v>
      </c>
      <c r="Z25" s="121"/>
      <c r="AA25" s="121">
        <f t="shared" ref="AA25" si="67">SUM(AA10-SUM(AA11:AA24))</f>
        <v>0</v>
      </c>
      <c r="AB25" s="121"/>
      <c r="AC25" s="121">
        <f t="shared" ref="AC25" si="68">SUM(AC10-SUM(AC11:AC24))</f>
        <v>0</v>
      </c>
      <c r="AD25" s="121"/>
      <c r="AE25" s="121">
        <f t="shared" ref="AE25" si="69">SUM(AE10-SUM(AE11:AE24))</f>
        <v>0</v>
      </c>
      <c r="AF25" s="121"/>
      <c r="AG25" s="121">
        <f t="shared" ref="AG25" si="70">SUM(AG10-SUM(AG11:AG24))</f>
        <v>0</v>
      </c>
      <c r="AH25" s="121"/>
      <c r="AI25" s="121">
        <f t="shared" ref="AI25" si="71">SUM(AI10-SUM(AI11:AI24))</f>
        <v>0</v>
      </c>
      <c r="AJ25" s="121"/>
      <c r="AK25" s="121">
        <f t="shared" ref="AK25" si="72">SUM(AK10-SUM(AK11:AK24))</f>
        <v>0</v>
      </c>
      <c r="AL25" s="121"/>
      <c r="AM25" s="121">
        <f t="shared" ref="AM25" si="73">SUM(AM10-SUM(AM11:AM24))</f>
        <v>0</v>
      </c>
      <c r="AN25" s="121"/>
      <c r="AO25" s="121">
        <f t="shared" ref="AO25" si="74">SUM(AO10-SUM(AO11:AO24))</f>
        <v>0</v>
      </c>
      <c r="AP25" s="122"/>
    </row>
    <row r="26" spans="2:44" x14ac:dyDescent="0.25">
      <c r="B26" s="19" t="s">
        <v>69</v>
      </c>
      <c r="C26" s="105"/>
      <c r="D26" s="105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7"/>
      <c r="AP26" s="107"/>
    </row>
    <row r="27" spans="2:44" x14ac:dyDescent="0.25">
      <c r="B27" s="7" t="s">
        <v>7</v>
      </c>
      <c r="C27" s="105"/>
      <c r="D27" s="105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7"/>
      <c r="AP27" s="107"/>
    </row>
    <row r="28" spans="2:44" ht="13" thickBot="1" x14ac:dyDescent="0.3">
      <c r="B28" s="80" t="s">
        <v>8</v>
      </c>
      <c r="C28" s="123"/>
      <c r="D28" s="123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5"/>
      <c r="AP28" s="125"/>
    </row>
    <row r="29" spans="2:44" ht="17.899999999999999" customHeight="1" thickBot="1" x14ac:dyDescent="0.3"/>
    <row r="30" spans="2:44" ht="25.4" customHeight="1" thickBot="1" x14ac:dyDescent="0.3">
      <c r="B30" s="8" t="s">
        <v>9</v>
      </c>
      <c r="C30" s="130" t="s">
        <v>91</v>
      </c>
      <c r="D30" s="130"/>
      <c r="E30" s="131" t="s">
        <v>92</v>
      </c>
      <c r="F30" s="131"/>
      <c r="G30" s="132" t="s">
        <v>93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4"/>
      <c r="AB30" s="33"/>
      <c r="AC30" s="33"/>
      <c r="AD30" s="33"/>
      <c r="AE30" s="33"/>
      <c r="AF30" s="33"/>
      <c r="AG30" s="35"/>
      <c r="AH30" s="35"/>
      <c r="AI30" s="36"/>
      <c r="AJ30" s="36"/>
      <c r="AK30" s="9"/>
      <c r="AL30" s="9"/>
      <c r="AM30" s="9"/>
      <c r="AN30" s="9"/>
      <c r="AO30" s="9"/>
      <c r="AP30" s="9"/>
    </row>
    <row r="31" spans="2:44" ht="13" customHeight="1" x14ac:dyDescent="0.3">
      <c r="B31" s="10" t="s">
        <v>10</v>
      </c>
      <c r="C31" s="126">
        <v>1</v>
      </c>
      <c r="D31" s="126"/>
      <c r="E31" s="127">
        <v>1</v>
      </c>
      <c r="F31" s="127"/>
      <c r="G31" s="128" t="s">
        <v>71</v>
      </c>
      <c r="H31" s="128"/>
      <c r="I31" s="129" t="s">
        <v>76</v>
      </c>
      <c r="J31" s="129"/>
      <c r="K31" s="129" t="s">
        <v>78</v>
      </c>
      <c r="L31" s="129"/>
      <c r="M31" s="129" t="s">
        <v>122</v>
      </c>
      <c r="N31" s="129"/>
      <c r="O31" s="129" t="s">
        <v>123</v>
      </c>
      <c r="P31" s="129"/>
      <c r="Q31" s="129"/>
      <c r="R31" s="135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R31" s="40"/>
    </row>
    <row r="32" spans="2:44" ht="13" customHeight="1" x14ac:dyDescent="0.3">
      <c r="B32" s="11" t="s">
        <v>12</v>
      </c>
      <c r="C32" s="136">
        <v>0</v>
      </c>
      <c r="D32" s="136"/>
      <c r="E32" s="92">
        <v>0</v>
      </c>
      <c r="F32" s="92"/>
      <c r="G32" s="137" t="s">
        <v>72</v>
      </c>
      <c r="H32" s="137"/>
      <c r="I32" s="95" t="s">
        <v>77</v>
      </c>
      <c r="J32" s="95"/>
      <c r="K32" s="95" t="s">
        <v>124</v>
      </c>
      <c r="L32" s="95"/>
      <c r="M32" s="95"/>
      <c r="N32" s="95"/>
      <c r="O32" s="95"/>
      <c r="P32" s="95"/>
      <c r="Q32" s="95"/>
      <c r="R32" s="138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</row>
    <row r="33" spans="2:42" ht="13.4" customHeight="1" x14ac:dyDescent="0.3">
      <c r="B33" s="11" t="s">
        <v>13</v>
      </c>
      <c r="C33" s="136">
        <v>0</v>
      </c>
      <c r="D33" s="136"/>
      <c r="E33" s="92">
        <v>0</v>
      </c>
      <c r="F33" s="92"/>
      <c r="G33" s="137" t="s">
        <v>72</v>
      </c>
      <c r="H33" s="137"/>
      <c r="I33" s="95" t="s">
        <v>77</v>
      </c>
      <c r="J33" s="95"/>
      <c r="K33" s="95" t="s">
        <v>124</v>
      </c>
      <c r="L33" s="95"/>
      <c r="M33" s="95"/>
      <c r="N33" s="95"/>
      <c r="O33" s="95"/>
      <c r="P33" s="95"/>
      <c r="Q33" s="95"/>
      <c r="R33" s="138"/>
      <c r="AB33" s="32"/>
      <c r="AC33" s="32"/>
      <c r="AD33" s="32"/>
      <c r="AE33" s="32"/>
      <c r="AF33" s="32"/>
      <c r="AG33" s="37"/>
      <c r="AH33" s="37"/>
      <c r="AI33" s="38"/>
      <c r="AJ33" s="38"/>
      <c r="AK33" s="39"/>
      <c r="AL33" s="39"/>
      <c r="AM33" s="39"/>
      <c r="AN33" s="39"/>
      <c r="AO33" s="39"/>
      <c r="AP33" s="39"/>
    </row>
    <row r="34" spans="2:42" ht="13" customHeight="1" x14ac:dyDescent="0.3">
      <c r="B34" s="11" t="s">
        <v>15</v>
      </c>
      <c r="C34" s="136">
        <v>0</v>
      </c>
      <c r="D34" s="136"/>
      <c r="E34" s="92">
        <v>0</v>
      </c>
      <c r="F34" s="92"/>
      <c r="G34" s="137" t="s">
        <v>74</v>
      </c>
      <c r="H34" s="137"/>
      <c r="I34" s="95" t="s">
        <v>125</v>
      </c>
      <c r="J34" s="137"/>
      <c r="K34" s="95" t="s">
        <v>76</v>
      </c>
      <c r="L34" s="95"/>
      <c r="M34" s="95"/>
      <c r="N34" s="95"/>
      <c r="O34" s="95"/>
      <c r="P34" s="95"/>
      <c r="Q34" s="95"/>
      <c r="R34" s="138"/>
      <c r="AB34" s="32"/>
      <c r="AC34" s="32"/>
      <c r="AD34" s="32"/>
      <c r="AE34" s="32"/>
      <c r="AF34" s="32"/>
      <c r="AG34" s="37"/>
      <c r="AH34" s="37"/>
      <c r="AI34" s="38"/>
      <c r="AJ34" s="38"/>
      <c r="AK34" s="39"/>
      <c r="AL34" s="39"/>
      <c r="AM34" s="39"/>
      <c r="AN34" s="39"/>
      <c r="AO34" s="39"/>
      <c r="AP34" s="39"/>
    </row>
    <row r="35" spans="2:42" ht="13" customHeight="1" x14ac:dyDescent="0.3">
      <c r="B35" s="11" t="s">
        <v>17</v>
      </c>
      <c r="C35" s="136">
        <v>1</v>
      </c>
      <c r="D35" s="136"/>
      <c r="E35" s="92">
        <v>1</v>
      </c>
      <c r="F35" s="92"/>
      <c r="G35" s="137" t="s">
        <v>75</v>
      </c>
      <c r="H35" s="137"/>
      <c r="I35" s="95" t="s">
        <v>126</v>
      </c>
      <c r="J35" s="95"/>
      <c r="K35" s="95" t="s">
        <v>127</v>
      </c>
      <c r="L35" s="95"/>
      <c r="M35" s="95" t="s">
        <v>79</v>
      </c>
      <c r="N35" s="95"/>
      <c r="O35" s="95" t="s">
        <v>123</v>
      </c>
      <c r="P35" s="95"/>
      <c r="Q35" s="95" t="s">
        <v>128</v>
      </c>
      <c r="R35" s="138"/>
      <c r="AB35" s="32"/>
      <c r="AC35" s="32"/>
      <c r="AD35" s="32"/>
      <c r="AE35" s="32"/>
      <c r="AF35" s="32"/>
      <c r="AG35" s="37"/>
      <c r="AH35" s="37"/>
      <c r="AI35" s="38"/>
      <c r="AJ35" s="38"/>
      <c r="AK35" s="39"/>
      <c r="AL35" s="39"/>
      <c r="AM35" s="39"/>
      <c r="AN35" s="39"/>
      <c r="AO35" s="39"/>
      <c r="AP35" s="39"/>
    </row>
    <row r="36" spans="2:42" ht="13" customHeight="1" x14ac:dyDescent="0.3">
      <c r="B36" s="11" t="s">
        <v>95</v>
      </c>
      <c r="C36" s="136">
        <v>1</v>
      </c>
      <c r="D36" s="136"/>
      <c r="E36" s="92">
        <v>1</v>
      </c>
      <c r="F36" s="92"/>
      <c r="G36" s="137" t="s">
        <v>75</v>
      </c>
      <c r="H36" s="137"/>
      <c r="I36" s="95" t="s">
        <v>126</v>
      </c>
      <c r="J36" s="95"/>
      <c r="K36" s="95"/>
      <c r="L36" s="95"/>
      <c r="M36" s="95"/>
      <c r="N36" s="95"/>
      <c r="O36" s="95"/>
      <c r="P36" s="95"/>
      <c r="Q36" s="95"/>
      <c r="R36" s="138"/>
      <c r="AB36" s="32"/>
      <c r="AC36" s="32"/>
      <c r="AD36" s="32"/>
      <c r="AE36" s="32"/>
      <c r="AF36" s="32"/>
      <c r="AG36" s="37"/>
      <c r="AH36" s="37"/>
      <c r="AI36" s="38"/>
      <c r="AJ36" s="38"/>
      <c r="AK36" s="39"/>
      <c r="AL36" s="39"/>
      <c r="AM36" s="39"/>
      <c r="AN36" s="39"/>
      <c r="AO36" s="39"/>
      <c r="AP36" s="39"/>
    </row>
    <row r="37" spans="2:42" ht="13" customHeight="1" x14ac:dyDescent="0.3">
      <c r="B37" s="11" t="s">
        <v>20</v>
      </c>
      <c r="C37" s="136">
        <v>0</v>
      </c>
      <c r="D37" s="136"/>
      <c r="E37" s="92">
        <v>0</v>
      </c>
      <c r="F37" s="92"/>
      <c r="G37" s="137" t="s">
        <v>72</v>
      </c>
      <c r="H37" s="137"/>
      <c r="I37" s="95"/>
      <c r="J37" s="95"/>
      <c r="K37" s="95"/>
      <c r="L37" s="95"/>
      <c r="M37" s="95"/>
      <c r="N37" s="95"/>
      <c r="O37" s="95"/>
      <c r="P37" s="95"/>
      <c r="Q37" s="95"/>
      <c r="R37" s="138"/>
      <c r="AB37" s="32"/>
      <c r="AC37" s="32"/>
      <c r="AD37" s="32"/>
      <c r="AE37" s="32"/>
      <c r="AF37" s="32"/>
      <c r="AG37" s="37"/>
      <c r="AH37" s="37"/>
      <c r="AI37" s="38"/>
      <c r="AJ37" s="38"/>
      <c r="AK37" s="39"/>
      <c r="AL37" s="39"/>
      <c r="AM37" s="39"/>
      <c r="AN37" s="39"/>
      <c r="AO37" s="39"/>
      <c r="AP37" s="39"/>
    </row>
    <row r="38" spans="2:42" ht="13" customHeight="1" thickBot="1" x14ac:dyDescent="0.35">
      <c r="B38" s="31" t="s">
        <v>22</v>
      </c>
      <c r="C38" s="146">
        <v>0</v>
      </c>
      <c r="D38" s="146"/>
      <c r="E38" s="147">
        <v>0</v>
      </c>
      <c r="F38" s="147"/>
      <c r="G38" s="148" t="s">
        <v>74</v>
      </c>
      <c r="H38" s="148"/>
      <c r="I38" s="149"/>
      <c r="J38" s="149"/>
      <c r="K38" s="149"/>
      <c r="L38" s="149"/>
      <c r="M38" s="149"/>
      <c r="N38" s="149"/>
      <c r="O38" s="149"/>
      <c r="P38" s="149"/>
      <c r="Q38" s="139"/>
      <c r="R38" s="140"/>
      <c r="AB38" s="32"/>
      <c r="AC38" s="32"/>
      <c r="AD38" s="32"/>
      <c r="AE38" s="32"/>
      <c r="AF38" s="32"/>
      <c r="AG38" s="37"/>
      <c r="AH38" s="37"/>
      <c r="AI38" s="38"/>
      <c r="AJ38" s="38"/>
      <c r="AK38" s="39"/>
      <c r="AL38" s="39"/>
      <c r="AM38" s="39"/>
      <c r="AN38" s="39"/>
      <c r="AO38" s="39"/>
      <c r="AP38" s="39"/>
    </row>
    <row r="39" spans="2:42" ht="16" thickBot="1" x14ac:dyDescent="0.4">
      <c r="B39" s="141" t="s">
        <v>11</v>
      </c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3"/>
    </row>
    <row r="40" spans="2:42" ht="13" x14ac:dyDescent="0.3">
      <c r="B40" s="15" t="s">
        <v>14</v>
      </c>
      <c r="C40" s="88">
        <v>0</v>
      </c>
      <c r="D40" s="88"/>
      <c r="E40" s="91">
        <v>0</v>
      </c>
      <c r="F40" s="91"/>
      <c r="G40" s="96" t="s">
        <v>80</v>
      </c>
      <c r="H40" s="96"/>
      <c r="I40" s="96" t="s">
        <v>129</v>
      </c>
      <c r="J40" s="96"/>
      <c r="K40" s="97" t="s">
        <v>130</v>
      </c>
      <c r="L40" s="96"/>
      <c r="M40" s="98"/>
      <c r="N40" s="96"/>
      <c r="O40" s="96"/>
      <c r="P40" s="96"/>
      <c r="Q40" s="144"/>
      <c r="R40" s="145"/>
    </row>
    <row r="41" spans="2:42" ht="13" x14ac:dyDescent="0.3">
      <c r="B41" s="16" t="s">
        <v>16</v>
      </c>
      <c r="C41" s="89">
        <v>0</v>
      </c>
      <c r="D41" s="89"/>
      <c r="E41" s="92">
        <v>0</v>
      </c>
      <c r="F41" s="92"/>
      <c r="G41" s="82" t="s">
        <v>81</v>
      </c>
      <c r="H41" s="82"/>
      <c r="I41" s="82" t="s">
        <v>84</v>
      </c>
      <c r="J41" s="82"/>
      <c r="K41" s="83" t="s">
        <v>131</v>
      </c>
      <c r="L41" s="82"/>
      <c r="M41" s="94"/>
      <c r="N41" s="95"/>
      <c r="O41" s="82"/>
      <c r="P41" s="82"/>
      <c r="Q41" s="84"/>
      <c r="R41" s="83"/>
    </row>
    <row r="42" spans="2:42" ht="13" x14ac:dyDescent="0.3">
      <c r="B42" s="16" t="s">
        <v>18</v>
      </c>
      <c r="C42" s="89">
        <v>0</v>
      </c>
      <c r="D42" s="89"/>
      <c r="E42" s="92">
        <v>0</v>
      </c>
      <c r="F42" s="92"/>
      <c r="G42" s="82" t="s">
        <v>82</v>
      </c>
      <c r="H42" s="82"/>
      <c r="I42" s="82" t="s">
        <v>132</v>
      </c>
      <c r="J42" s="82"/>
      <c r="K42" s="83"/>
      <c r="L42" s="82"/>
      <c r="M42" s="94"/>
      <c r="N42" s="95"/>
      <c r="O42" s="82"/>
      <c r="P42" s="82"/>
      <c r="Q42" s="84"/>
      <c r="R42" s="83"/>
    </row>
    <row r="43" spans="2:42" ht="13" x14ac:dyDescent="0.3">
      <c r="B43" s="16" t="s">
        <v>19</v>
      </c>
      <c r="C43" s="89">
        <v>0</v>
      </c>
      <c r="D43" s="89"/>
      <c r="E43" s="92">
        <v>0</v>
      </c>
      <c r="F43" s="92"/>
      <c r="G43" s="82" t="s">
        <v>73</v>
      </c>
      <c r="H43" s="82"/>
      <c r="I43" s="82" t="s">
        <v>133</v>
      </c>
      <c r="J43" s="82"/>
      <c r="K43" s="83"/>
      <c r="L43" s="82"/>
      <c r="M43" s="82"/>
      <c r="N43" s="82"/>
      <c r="O43" s="82"/>
      <c r="P43" s="82"/>
      <c r="Q43" s="84"/>
      <c r="R43" s="83"/>
    </row>
    <row r="44" spans="2:42" ht="13" x14ac:dyDescent="0.3">
      <c r="B44" s="16" t="s">
        <v>21</v>
      </c>
      <c r="C44" s="89">
        <v>0</v>
      </c>
      <c r="D44" s="89"/>
      <c r="E44" s="92">
        <v>0</v>
      </c>
      <c r="F44" s="92"/>
      <c r="G44" s="82" t="s">
        <v>82</v>
      </c>
      <c r="H44" s="82"/>
      <c r="I44" s="82"/>
      <c r="J44" s="82"/>
      <c r="K44" s="83"/>
      <c r="L44" s="82"/>
      <c r="M44" s="84"/>
      <c r="N44" s="82"/>
      <c r="O44" s="82"/>
      <c r="P44" s="82"/>
      <c r="Q44" s="84"/>
      <c r="R44" s="83"/>
    </row>
    <row r="45" spans="2:42" ht="13.5" thickBot="1" x14ac:dyDescent="0.35">
      <c r="B45" s="17" t="s">
        <v>59</v>
      </c>
      <c r="C45" s="90">
        <v>0</v>
      </c>
      <c r="D45" s="90"/>
      <c r="E45" s="93">
        <v>0</v>
      </c>
      <c r="F45" s="93"/>
      <c r="G45" s="85" t="s">
        <v>83</v>
      </c>
      <c r="H45" s="85"/>
      <c r="I45" s="85" t="s">
        <v>134</v>
      </c>
      <c r="J45" s="85"/>
      <c r="K45" s="86"/>
      <c r="L45" s="85"/>
      <c r="M45" s="87"/>
      <c r="N45" s="85"/>
      <c r="O45" s="85"/>
      <c r="P45" s="85"/>
      <c r="Q45" s="87"/>
      <c r="R45" s="86"/>
    </row>
  </sheetData>
  <mergeCells count="377">
    <mergeCell ref="Q41:R41"/>
    <mergeCell ref="Q42:R42"/>
    <mergeCell ref="Q43:R43"/>
    <mergeCell ref="Q44:R44"/>
    <mergeCell ref="Q45:R45"/>
    <mergeCell ref="Q32:R32"/>
    <mergeCell ref="Q33:R33"/>
    <mergeCell ref="Q34:R34"/>
    <mergeCell ref="Q35:R35"/>
    <mergeCell ref="Q36:R36"/>
    <mergeCell ref="Q37:R37"/>
    <mergeCell ref="Q38:R38"/>
    <mergeCell ref="B39:R39"/>
    <mergeCell ref="Q40:R40"/>
    <mergeCell ref="C38:D38"/>
    <mergeCell ref="E38:F38"/>
    <mergeCell ref="G38:H38"/>
    <mergeCell ref="I38:J38"/>
    <mergeCell ref="K38:L38"/>
    <mergeCell ref="M38:N38"/>
    <mergeCell ref="O38:P38"/>
    <mergeCell ref="O37:P37"/>
    <mergeCell ref="C37:D37"/>
    <mergeCell ref="E37:F37"/>
    <mergeCell ref="G37:H37"/>
    <mergeCell ref="C36:D36"/>
    <mergeCell ref="E36:F36"/>
    <mergeCell ref="G36:H36"/>
    <mergeCell ref="I36:J36"/>
    <mergeCell ref="K36:L36"/>
    <mergeCell ref="M36:N36"/>
    <mergeCell ref="O36:P36"/>
    <mergeCell ref="I37:J37"/>
    <mergeCell ref="K37:L37"/>
    <mergeCell ref="M37:N37"/>
    <mergeCell ref="C34:D34"/>
    <mergeCell ref="E34:F34"/>
    <mergeCell ref="G34:H34"/>
    <mergeCell ref="I34:J34"/>
    <mergeCell ref="K34:L34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2:D32"/>
    <mergeCell ref="E32:F32"/>
    <mergeCell ref="G32:H32"/>
    <mergeCell ref="I32:J32"/>
    <mergeCell ref="K32:L32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1:D31"/>
    <mergeCell ref="E31:F31"/>
    <mergeCell ref="G31:H31"/>
    <mergeCell ref="I31:J31"/>
    <mergeCell ref="K31:L31"/>
    <mergeCell ref="M31:N31"/>
    <mergeCell ref="O31:P31"/>
    <mergeCell ref="C30:D30"/>
    <mergeCell ref="E30:F30"/>
    <mergeCell ref="G30:R30"/>
    <mergeCell ref="Q31:R31"/>
    <mergeCell ref="AK28:AL28"/>
    <mergeCell ref="AM28:AN28"/>
    <mergeCell ref="AO28:AP28"/>
    <mergeCell ref="U28:V28"/>
    <mergeCell ref="W28:X28"/>
    <mergeCell ref="Y28:Z28"/>
    <mergeCell ref="AA28:AB28"/>
    <mergeCell ref="AC28:AD28"/>
    <mergeCell ref="AE28:AF28"/>
    <mergeCell ref="AO27:AP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AG28:AH28"/>
    <mergeCell ref="AI28:AJ28"/>
    <mergeCell ref="C27:D27"/>
    <mergeCell ref="E27:F27"/>
    <mergeCell ref="G27:H27"/>
    <mergeCell ref="I27:J27"/>
    <mergeCell ref="K27:L27"/>
    <mergeCell ref="M27:N27"/>
    <mergeCell ref="O27:P27"/>
    <mergeCell ref="Y26:Z26"/>
    <mergeCell ref="AA26:AB26"/>
    <mergeCell ref="M26:N26"/>
    <mergeCell ref="O26:P26"/>
    <mergeCell ref="Q26:R26"/>
    <mergeCell ref="S26:T26"/>
    <mergeCell ref="U26:V26"/>
    <mergeCell ref="W26:X26"/>
    <mergeCell ref="AK25:AL25"/>
    <mergeCell ref="AM25:AN25"/>
    <mergeCell ref="AO25:AP25"/>
    <mergeCell ref="C26:D26"/>
    <mergeCell ref="E26:F26"/>
    <mergeCell ref="G26:H26"/>
    <mergeCell ref="I26:J26"/>
    <mergeCell ref="K26:L26"/>
    <mergeCell ref="U25:V25"/>
    <mergeCell ref="W25:X25"/>
    <mergeCell ref="Y25:Z25"/>
    <mergeCell ref="AA25:AB25"/>
    <mergeCell ref="AC25:AD25"/>
    <mergeCell ref="AE25:AF25"/>
    <mergeCell ref="AK26:AL26"/>
    <mergeCell ref="AM26:AN26"/>
    <mergeCell ref="AO26:AP26"/>
    <mergeCell ref="AC26:AD26"/>
    <mergeCell ref="AE26:AF26"/>
    <mergeCell ref="AG26:AH26"/>
    <mergeCell ref="AI26:AJ26"/>
    <mergeCell ref="AO10:AP10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AG25:AH25"/>
    <mergeCell ref="AI25:AJ25"/>
    <mergeCell ref="C10:D10"/>
    <mergeCell ref="E10:F10"/>
    <mergeCell ref="G10:H10"/>
    <mergeCell ref="I10:J10"/>
    <mergeCell ref="K10:L10"/>
    <mergeCell ref="M10:N10"/>
    <mergeCell ref="O10:P10"/>
    <mergeCell ref="Y9:Z9"/>
    <mergeCell ref="AA9:AB9"/>
    <mergeCell ref="M9:N9"/>
    <mergeCell ref="O9:P9"/>
    <mergeCell ref="Q9:R9"/>
    <mergeCell ref="S9:T9"/>
    <mergeCell ref="U9:V9"/>
    <mergeCell ref="W9:X9"/>
    <mergeCell ref="AK8:AL8"/>
    <mergeCell ref="AM8:AN8"/>
    <mergeCell ref="AO8:AP8"/>
    <mergeCell ref="C9:D9"/>
    <mergeCell ref="E9:F9"/>
    <mergeCell ref="G9:H9"/>
    <mergeCell ref="I9:J9"/>
    <mergeCell ref="K9:L9"/>
    <mergeCell ref="U8:V8"/>
    <mergeCell ref="W8:X8"/>
    <mergeCell ref="Y8:Z8"/>
    <mergeCell ref="AA8:AB8"/>
    <mergeCell ref="AC8:AD8"/>
    <mergeCell ref="AE8:AF8"/>
    <mergeCell ref="AK9:AL9"/>
    <mergeCell ref="AM9:AN9"/>
    <mergeCell ref="AO9:AP9"/>
    <mergeCell ref="AC9:AD9"/>
    <mergeCell ref="AE9:AF9"/>
    <mergeCell ref="AG9:AH9"/>
    <mergeCell ref="AI9:AJ9"/>
    <mergeCell ref="AO7:AP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AG8:AH8"/>
    <mergeCell ref="AI8:AJ8"/>
    <mergeCell ref="C7:D7"/>
    <mergeCell ref="E7:F7"/>
    <mergeCell ref="G7:H7"/>
    <mergeCell ref="I7:J7"/>
    <mergeCell ref="K7:L7"/>
    <mergeCell ref="M7:N7"/>
    <mergeCell ref="O7:P7"/>
    <mergeCell ref="Y6:Z6"/>
    <mergeCell ref="AA6:AB6"/>
    <mergeCell ref="M6:N6"/>
    <mergeCell ref="O6:P6"/>
    <mergeCell ref="Q6:R6"/>
    <mergeCell ref="S6:T6"/>
    <mergeCell ref="U6:V6"/>
    <mergeCell ref="W6:X6"/>
    <mergeCell ref="AO5:AP5"/>
    <mergeCell ref="C6:D6"/>
    <mergeCell ref="E6:F6"/>
    <mergeCell ref="G6:H6"/>
    <mergeCell ref="I6:J6"/>
    <mergeCell ref="K6:L6"/>
    <mergeCell ref="U5:V5"/>
    <mergeCell ref="W5:X5"/>
    <mergeCell ref="Y5:Z5"/>
    <mergeCell ref="AA5:AB5"/>
    <mergeCell ref="AC5:AD5"/>
    <mergeCell ref="AE5:AF5"/>
    <mergeCell ref="AK6:AL6"/>
    <mergeCell ref="AM6:AN6"/>
    <mergeCell ref="AO6:AP6"/>
    <mergeCell ref="AC6:AD6"/>
    <mergeCell ref="AE6:AF6"/>
    <mergeCell ref="AG6:AH6"/>
    <mergeCell ref="AI6:AJ6"/>
    <mergeCell ref="C5:D5"/>
    <mergeCell ref="E5:F5"/>
    <mergeCell ref="G5:H5"/>
    <mergeCell ref="I5:J5"/>
    <mergeCell ref="K5:L5"/>
    <mergeCell ref="AM4:AN4"/>
    <mergeCell ref="Q4:R4"/>
    <mergeCell ref="S4:T4"/>
    <mergeCell ref="U4:V4"/>
    <mergeCell ref="W4:X4"/>
    <mergeCell ref="Y4:Z4"/>
    <mergeCell ref="AA4:AB4"/>
    <mergeCell ref="AG5:AH5"/>
    <mergeCell ref="AI5:AJ5"/>
    <mergeCell ref="AK5:AL5"/>
    <mergeCell ref="AM5:AN5"/>
    <mergeCell ref="M5:N5"/>
    <mergeCell ref="O5:P5"/>
    <mergeCell ref="Q5:R5"/>
    <mergeCell ref="S5:T5"/>
    <mergeCell ref="AK3:AL3"/>
    <mergeCell ref="E3:F3"/>
    <mergeCell ref="G3:H3"/>
    <mergeCell ref="I3:J3"/>
    <mergeCell ref="K3:L3"/>
    <mergeCell ref="AE4:AF4"/>
    <mergeCell ref="AG4:AH4"/>
    <mergeCell ref="AI4:AJ4"/>
    <mergeCell ref="AK4:AL4"/>
    <mergeCell ref="AM3:AN3"/>
    <mergeCell ref="AO3:AP3"/>
    <mergeCell ref="C4:D4"/>
    <mergeCell ref="E4:F4"/>
    <mergeCell ref="G4:H4"/>
    <mergeCell ref="I4:J4"/>
    <mergeCell ref="K4:L4"/>
    <mergeCell ref="M4:N4"/>
    <mergeCell ref="O4:P4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AO4:AP4"/>
    <mergeCell ref="AC4:AD4"/>
    <mergeCell ref="C3:D3"/>
    <mergeCell ref="U2:V2"/>
    <mergeCell ref="W2:X2"/>
    <mergeCell ref="Y2:Z2"/>
    <mergeCell ref="AA2:AB2"/>
    <mergeCell ref="B1:AP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G2:AH2"/>
    <mergeCell ref="AI2:AJ2"/>
    <mergeCell ref="AK2:AL2"/>
    <mergeCell ref="AM2:AN2"/>
    <mergeCell ref="AO2:AP2"/>
    <mergeCell ref="AC2:AD2"/>
    <mergeCell ref="AE2:AF2"/>
    <mergeCell ref="G40:H40"/>
    <mergeCell ref="I40:J40"/>
    <mergeCell ref="K40:L40"/>
    <mergeCell ref="M40:N40"/>
    <mergeCell ref="O40:P40"/>
    <mergeCell ref="G41:H41"/>
    <mergeCell ref="I41:J41"/>
    <mergeCell ref="K41:L41"/>
    <mergeCell ref="M41:N41"/>
    <mergeCell ref="O41:P41"/>
    <mergeCell ref="I42:J42"/>
    <mergeCell ref="K42:L42"/>
    <mergeCell ref="M42:N42"/>
    <mergeCell ref="O42:P42"/>
    <mergeCell ref="G43:H43"/>
    <mergeCell ref="I43:J43"/>
    <mergeCell ref="K43:L43"/>
    <mergeCell ref="M43:N43"/>
    <mergeCell ref="O43:P43"/>
    <mergeCell ref="G42:H42"/>
    <mergeCell ref="C40:D40"/>
    <mergeCell ref="C41:D41"/>
    <mergeCell ref="C42:D42"/>
    <mergeCell ref="C43:D43"/>
    <mergeCell ref="C44:D44"/>
    <mergeCell ref="C45:D45"/>
    <mergeCell ref="E40:F40"/>
    <mergeCell ref="E41:F41"/>
    <mergeCell ref="E42:F42"/>
    <mergeCell ref="E43:F43"/>
    <mergeCell ref="E44:F44"/>
    <mergeCell ref="E45:F45"/>
    <mergeCell ref="G44:H44"/>
    <mergeCell ref="I44:J44"/>
    <mergeCell ref="K44:L44"/>
    <mergeCell ref="M44:N44"/>
    <mergeCell ref="O44:P44"/>
    <mergeCell ref="G45:H45"/>
    <mergeCell ref="I45:J45"/>
    <mergeCell ref="K45:L45"/>
    <mergeCell ref="M45:N45"/>
    <mergeCell ref="O45:P45"/>
  </mergeCells>
  <conditionalFormatting sqref="G31">
    <cfRule type="expression" dxfId="109" priority="39">
      <formula>$E$31&gt;=2</formula>
    </cfRule>
  </conditionalFormatting>
  <conditionalFormatting sqref="G32">
    <cfRule type="expression" dxfId="108" priority="34">
      <formula>$E$32&gt;=1</formula>
    </cfRule>
  </conditionalFormatting>
  <conditionalFormatting sqref="G33">
    <cfRule type="expression" dxfId="107" priority="31">
      <formula>$E$33&gt;=1</formula>
    </cfRule>
  </conditionalFormatting>
  <conditionalFormatting sqref="G34">
    <cfRule type="expression" dxfId="106" priority="28">
      <formula>$E$34&gt;=1</formula>
    </cfRule>
  </conditionalFormatting>
  <conditionalFormatting sqref="G35">
    <cfRule type="expression" dxfId="105" priority="25">
      <formula>$E$35&gt;=2</formula>
    </cfRule>
  </conditionalFormatting>
  <conditionalFormatting sqref="G36">
    <cfRule type="expression" dxfId="104" priority="19">
      <formula>$E$36&gt;=2</formula>
    </cfRule>
  </conditionalFormatting>
  <conditionalFormatting sqref="G40">
    <cfRule type="expression" dxfId="103" priority="15">
      <formula>$E$40&gt;=1</formula>
    </cfRule>
  </conditionalFormatting>
  <conditionalFormatting sqref="G41">
    <cfRule type="expression" dxfId="102" priority="12">
      <formula>$E$41&gt;=1</formula>
    </cfRule>
  </conditionalFormatting>
  <conditionalFormatting sqref="G42">
    <cfRule type="expression" dxfId="101" priority="9">
      <formula>$E$42&gt;=1</formula>
    </cfRule>
  </conditionalFormatting>
  <conditionalFormatting sqref="G43">
    <cfRule type="expression" dxfId="100" priority="7">
      <formula>$E$43&gt;=1</formula>
    </cfRule>
  </conditionalFormatting>
  <conditionalFormatting sqref="G44">
    <cfRule type="expression" dxfId="99" priority="5">
      <formula>$E$44&gt;=1</formula>
    </cfRule>
  </conditionalFormatting>
  <conditionalFormatting sqref="G45">
    <cfRule type="expression" dxfId="98" priority="4">
      <formula>$E$45&gt;=1</formula>
    </cfRule>
  </conditionalFormatting>
  <conditionalFormatting sqref="G37:H37">
    <cfRule type="expression" dxfId="97" priority="17">
      <formula>$E$37&gt;=1</formula>
    </cfRule>
  </conditionalFormatting>
  <conditionalFormatting sqref="G38:H38">
    <cfRule type="expression" dxfId="96" priority="16">
      <formula>$E$38&gt;=1</formula>
    </cfRule>
  </conditionalFormatting>
  <conditionalFormatting sqref="I26">
    <cfRule type="expression" dxfId="95" priority="24">
      <formula>$E$35&gt;=3</formula>
    </cfRule>
  </conditionalFormatting>
  <conditionalFormatting sqref="I31">
    <cfRule type="expression" dxfId="94" priority="38">
      <formula>$E$31&gt;=3</formula>
    </cfRule>
  </conditionalFormatting>
  <conditionalFormatting sqref="I32">
    <cfRule type="expression" dxfId="93" priority="33">
      <formula>$E$32&gt;=2</formula>
    </cfRule>
  </conditionalFormatting>
  <conditionalFormatting sqref="I33">
    <cfRule type="expression" dxfId="92" priority="30">
      <formula>$E$33&gt;=2</formula>
    </cfRule>
  </conditionalFormatting>
  <conditionalFormatting sqref="I34">
    <cfRule type="expression" dxfId="91" priority="27">
      <formula>$E$34&gt;=2</formula>
    </cfRule>
  </conditionalFormatting>
  <conditionalFormatting sqref="I35">
    <cfRule type="expression" dxfId="90" priority="20">
      <formula>$E$35&gt;=3</formula>
    </cfRule>
  </conditionalFormatting>
  <conditionalFormatting sqref="I36">
    <cfRule type="expression" dxfId="89" priority="18">
      <formula>$E$36&gt;=3</formula>
    </cfRule>
  </conditionalFormatting>
  <conditionalFormatting sqref="I40">
    <cfRule type="expression" dxfId="88" priority="14">
      <formula>$E$40&gt;=2</formula>
    </cfRule>
  </conditionalFormatting>
  <conditionalFormatting sqref="I41">
    <cfRule type="expression" dxfId="87" priority="11">
      <formula>$E$41&gt;=2</formula>
    </cfRule>
  </conditionalFormatting>
  <conditionalFormatting sqref="I42">
    <cfRule type="expression" dxfId="86" priority="8">
      <formula>$E$42&gt;=2</formula>
    </cfRule>
  </conditionalFormatting>
  <conditionalFormatting sqref="I43">
    <cfRule type="expression" dxfId="85" priority="6">
      <formula>$E$43&gt;=2</formula>
    </cfRule>
  </conditionalFormatting>
  <conditionalFormatting sqref="I45">
    <cfRule type="expression" dxfId="84" priority="3">
      <formula>$E$45&gt;=2</formula>
    </cfRule>
  </conditionalFormatting>
  <conditionalFormatting sqref="K31">
    <cfRule type="expression" dxfId="83" priority="37">
      <formula>$E$31&gt;=4</formula>
    </cfRule>
  </conditionalFormatting>
  <conditionalFormatting sqref="K32">
    <cfRule type="expression" dxfId="82" priority="32">
      <formula>$E$32&gt;=3</formula>
    </cfRule>
  </conditionalFormatting>
  <conditionalFormatting sqref="K33">
    <cfRule type="expression" dxfId="81" priority="29">
      <formula>$E$33&gt;=3</formula>
    </cfRule>
  </conditionalFormatting>
  <conditionalFormatting sqref="K34">
    <cfRule type="expression" dxfId="80" priority="26">
      <formula>$E$34&gt;=3</formula>
    </cfRule>
  </conditionalFormatting>
  <conditionalFormatting sqref="K35">
    <cfRule type="expression" dxfId="79" priority="23">
      <formula>$E$35&gt;=4</formula>
    </cfRule>
  </conditionalFormatting>
  <conditionalFormatting sqref="K40">
    <cfRule type="expression" dxfId="78" priority="13">
      <formula>$E$40&gt;=3</formula>
    </cfRule>
  </conditionalFormatting>
  <conditionalFormatting sqref="K41">
    <cfRule type="expression" dxfId="77" priority="10">
      <formula>$E$41&gt;=3</formula>
    </cfRule>
  </conditionalFormatting>
  <conditionalFormatting sqref="M31">
    <cfRule type="expression" dxfId="76" priority="36">
      <formula>$E$31&gt;=5</formula>
    </cfRule>
  </conditionalFormatting>
  <conditionalFormatting sqref="M35">
    <cfRule type="expression" dxfId="75" priority="22">
      <formula>$E$35&gt;=5</formula>
    </cfRule>
  </conditionalFormatting>
  <conditionalFormatting sqref="O31">
    <cfRule type="expression" dxfId="74" priority="35">
      <formula>$E$31&gt;=6</formula>
    </cfRule>
  </conditionalFormatting>
  <conditionalFormatting sqref="O35">
    <cfRule type="expression" dxfId="73" priority="21">
      <formula>$E$35&gt;=6</formula>
    </cfRule>
  </conditionalFormatting>
  <conditionalFormatting sqref="Q31">
    <cfRule type="expression" dxfId="72" priority="2">
      <formula>$E$31&gt;=6</formula>
    </cfRule>
  </conditionalFormatting>
  <conditionalFormatting sqref="Q35">
    <cfRule type="expression" dxfId="71" priority="1">
      <formula>$E$35&gt;=7</formula>
    </cfRule>
  </conditionalFormatting>
  <dataValidations count="6">
    <dataValidation type="list" operator="equal" allowBlank="1" showErrorMessage="1" errorTitle="Invalid Tech Level" error="The tech level entered is not applicable to this unit. Please select from the drop down menu or enter a valid value." sqref="E31" xr:uid="{BA97AE71-8713-45C3-BF3B-D2C16B1468EF}">
      <formula1>"1,2,3,4,5,6"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2:F34 AI33:AJ34 E40:F41" xr:uid="{7D34D227-BF4F-4B11-9EE9-FFB4216D1D81}">
      <formula1>"0,1,2,3"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6" xr:uid="{4EEE644F-1A5E-4FCE-8D32-9F48952CEDDF}">
      <formula1>"1,2,3"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7:F38 AI37 E44" xr:uid="{24CBE3B5-ABEE-48C1-9833-8F358BD0C070}">
      <formula1>"0,1"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AI35:AJ36 AI38 E42:F43 E45" xr:uid="{FB60178F-DE52-4644-9C44-5FDDFD2B9660}">
      <formula1>"0,1,2"</formula1>
      <formula2>0</formula2>
    </dataValidation>
    <dataValidation type="list" operator="equal" allowBlank="1" showErrorMessage="1" errorTitle="Invalid Tech Level" error="The tech level entered is not applicable to this unit. Please select from the drop down menu or enter a valid value." sqref="E35:F35" xr:uid="{6096E6B0-F7F7-420A-9427-A0D4634F0CFC}">
      <formula1>"1,2,3,4,5,6,7"</formula1>
    </dataValidation>
  </dataValidations>
  <pageMargins left="0.78749999999999998" right="0.78749999999999998" top="0.78749999999999998" bottom="0.78749999999999998" header="0.51180555555555551" footer="0.51180555555555551"/>
  <pageSetup orientation="landscape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9947-EA6E-45D5-841F-834D23521668}">
  <sheetPr>
    <pageSetUpPr fitToPage="1"/>
  </sheetPr>
  <dimension ref="A1:X39"/>
  <sheetViews>
    <sheetView defaultGridColor="0" colorId="27" zoomScaleNormal="100" workbookViewId="0">
      <selection activeCell="F39" sqref="F39:L39"/>
    </sheetView>
  </sheetViews>
  <sheetFormatPr defaultColWidth="11.54296875" defaultRowHeight="12.5" x14ac:dyDescent="0.25"/>
  <cols>
    <col min="1" max="1" width="3.6328125" customWidth="1"/>
    <col min="2" max="3" width="3.08984375" customWidth="1"/>
    <col min="4" max="5" width="0.81640625" customWidth="1"/>
    <col min="6" max="6" width="12.36328125" customWidth="1"/>
    <col min="7" max="10" width="10.7265625" customWidth="1"/>
    <col min="11" max="11" width="14.6328125" customWidth="1"/>
    <col min="12" max="12" width="5.54296875" customWidth="1"/>
    <col min="13" max="13" width="3.6328125" customWidth="1"/>
    <col min="14" max="15" width="3.08984375" customWidth="1"/>
    <col min="16" max="17" width="0.81640625" customWidth="1"/>
    <col min="18" max="18" width="12.36328125" customWidth="1"/>
    <col min="19" max="22" width="10.7265625" customWidth="1"/>
    <col min="23" max="23" width="14.6328125" customWidth="1"/>
    <col min="24" max="24" width="5.54296875" customWidth="1"/>
  </cols>
  <sheetData>
    <row r="1" spans="1:24" ht="23.15" customHeight="1" thickBot="1" x14ac:dyDescent="0.3">
      <c r="F1" s="100" t="s">
        <v>23</v>
      </c>
      <c r="G1" s="100"/>
      <c r="H1" s="100"/>
      <c r="I1" s="100"/>
      <c r="J1" s="100"/>
      <c r="K1" s="100"/>
      <c r="L1" s="100"/>
      <c r="M1" s="13"/>
      <c r="N1" s="13"/>
      <c r="O1" s="13"/>
      <c r="R1" s="150" t="s">
        <v>24</v>
      </c>
      <c r="S1" s="150"/>
      <c r="T1" s="150"/>
      <c r="U1" s="150"/>
      <c r="V1" s="150"/>
      <c r="W1" s="150"/>
      <c r="X1" s="150"/>
    </row>
    <row r="2" spans="1:24" ht="13.5" x14ac:dyDescent="0.3">
      <c r="F2" s="67" t="s">
        <v>90</v>
      </c>
      <c r="G2" s="68" t="s">
        <v>25</v>
      </c>
      <c r="H2" s="68" t="s">
        <v>26</v>
      </c>
      <c r="I2" s="68" t="s">
        <v>27</v>
      </c>
      <c r="J2" s="68" t="s">
        <v>28</v>
      </c>
      <c r="K2" s="151" t="s">
        <v>29</v>
      </c>
      <c r="L2" s="152"/>
      <c r="M2" s="14"/>
      <c r="N2" s="14"/>
      <c r="O2" s="14"/>
      <c r="R2" s="67" t="s">
        <v>90</v>
      </c>
      <c r="S2" s="68" t="s">
        <v>25</v>
      </c>
      <c r="T2" s="68" t="s">
        <v>26</v>
      </c>
      <c r="U2" s="68" t="s">
        <v>27</v>
      </c>
      <c r="V2" s="68" t="s">
        <v>28</v>
      </c>
      <c r="W2" s="151" t="s">
        <v>29</v>
      </c>
      <c r="X2" s="152"/>
    </row>
    <row r="3" spans="1:24" ht="13" x14ac:dyDescent="0.3">
      <c r="E3" s="60"/>
      <c r="F3" s="51" t="s">
        <v>94</v>
      </c>
      <c r="G3" s="52">
        <f>IF('SE4X Production'!$E$32&lt;=1,'SE4X Production'!$E$32,0)</f>
        <v>0</v>
      </c>
      <c r="H3" s="52">
        <f>IF('SE4X Production'!$E$33&lt;=1,'SE4X Production'!$E$33,0)</f>
        <v>0</v>
      </c>
      <c r="I3" s="52">
        <f>'SE4X Production'!$E$34</f>
        <v>0</v>
      </c>
      <c r="J3" s="52">
        <v>0</v>
      </c>
      <c r="K3" s="53" t="s">
        <v>95</v>
      </c>
      <c r="L3" s="54">
        <f>'SE4X Production'!$E34</f>
        <v>0</v>
      </c>
      <c r="M3" s="59" t="b">
        <v>0</v>
      </c>
      <c r="P3" s="59" t="b">
        <v>0</v>
      </c>
      <c r="Q3" s="59"/>
      <c r="R3" s="72" t="s">
        <v>50</v>
      </c>
      <c r="S3" s="48">
        <f>IF(M3,IF(P3,MIN('SE4X Production'!$E$32,2),S3),0)</f>
        <v>0</v>
      </c>
      <c r="T3" s="48">
        <f>IF(M3,IF(P3,MIN('SE4X Production'!$E$33,2),T3),0)</f>
        <v>0</v>
      </c>
      <c r="U3" s="48">
        <f>IF(M3,IF(P3,MIN('SE4X Production'!$E$34,3),U3),0)</f>
        <v>0</v>
      </c>
      <c r="V3" s="48">
        <f>IF(M3,IF(P3,MIN('SE4X Production'!$E$35,7),V3),1)</f>
        <v>1</v>
      </c>
      <c r="W3" s="49" t="s">
        <v>18</v>
      </c>
      <c r="X3" s="78">
        <f>IF(M3,IF(P3,MIN('SE4X Production'!$E$42,2),X3),1)</f>
        <v>1</v>
      </c>
    </row>
    <row r="4" spans="1:24" ht="13.5" x14ac:dyDescent="0.3">
      <c r="F4" s="69" t="s">
        <v>96</v>
      </c>
      <c r="G4" s="52">
        <f>'SE4X Production'!$E$32</f>
        <v>0</v>
      </c>
      <c r="H4" s="52">
        <f>'SE4X Production'!$E$33</f>
        <v>0</v>
      </c>
      <c r="I4" s="52">
        <f>'SE4X Production'!$E$34</f>
        <v>0</v>
      </c>
      <c r="J4" s="52">
        <v>0</v>
      </c>
      <c r="K4" s="70"/>
      <c r="L4" s="71"/>
      <c r="M4" s="59" t="b">
        <v>0</v>
      </c>
      <c r="P4" s="59" t="b">
        <v>0</v>
      </c>
      <c r="Q4" s="59"/>
      <c r="R4" s="72" t="s">
        <v>52</v>
      </c>
      <c r="S4" s="48">
        <f>IF(M4,IF(P4,MIN('SE4X Production'!$E$32,2),S4),0)</f>
        <v>0</v>
      </c>
      <c r="T4" s="48">
        <f>IF(M4,IF(P4,MIN('SE4X Production'!$E$33,2),T4),0)</f>
        <v>0</v>
      </c>
      <c r="U4" s="48">
        <f>IF(M4,IF(P4,MIN('SE4X Production'!$E$34,3),U4),0)</f>
        <v>0</v>
      </c>
      <c r="V4" s="48">
        <f>IF(M4,IF(P4,MIN('SE4X Production'!$E$35,7),V4),1)</f>
        <v>1</v>
      </c>
      <c r="W4" s="49" t="s">
        <v>18</v>
      </c>
      <c r="X4" s="78">
        <f>IF(M4,IF(P4,MIN('SE4X Production'!$E$42,2),X4),1)</f>
        <v>1</v>
      </c>
    </row>
    <row r="5" spans="1:24" ht="13" x14ac:dyDescent="0.3">
      <c r="A5" s="59" t="b">
        <v>0</v>
      </c>
      <c r="D5" s="59" t="b">
        <v>0</v>
      </c>
      <c r="E5" s="79"/>
      <c r="F5" s="47" t="s">
        <v>85</v>
      </c>
      <c r="G5" s="48">
        <f>IF(A5,IF(D5,MIN('SE4X Production'!$E$32,1),G5),0)</f>
        <v>0</v>
      </c>
      <c r="H5" s="48">
        <f>IF(A5,IF(D5,MIN('SE4X Production'!$E$33,1),H5),0)</f>
        <v>0</v>
      </c>
      <c r="I5" s="48">
        <f>IF(A5,IF(D5,MIN('SE4X Production'!$E$34,3),I5),0)</f>
        <v>0</v>
      </c>
      <c r="J5" s="48">
        <f>IF(A5,IF(D5,MIN('SE4X Production'!$E$35,7),J5),1)</f>
        <v>1</v>
      </c>
      <c r="K5" s="49" t="s">
        <v>16</v>
      </c>
      <c r="L5" s="50">
        <f>IF(A5,IF(D5,MIN('SE4X Production'!$E$41,3),L5),0)</f>
        <v>0</v>
      </c>
      <c r="M5" s="59" t="b">
        <v>0</v>
      </c>
      <c r="P5" s="59" t="b">
        <v>0</v>
      </c>
      <c r="Q5" s="59"/>
      <c r="R5" s="72" t="s">
        <v>54</v>
      </c>
      <c r="S5" s="48">
        <f>IF(M5,IF(P5,MIN('SE4X Production'!$E$32,2),S5),0)</f>
        <v>0</v>
      </c>
      <c r="T5" s="48">
        <f>IF(M5,IF(P5,MIN('SE4X Production'!$E$33,2),T5),0)</f>
        <v>0</v>
      </c>
      <c r="U5" s="48">
        <f>IF(M5,IF(P5,MIN('SE4X Production'!$E$34,3),U5),0)</f>
        <v>0</v>
      </c>
      <c r="V5" s="48">
        <f>IF(M5,IF(P5,MIN('SE4X Production'!$E$35,7),V5),1)</f>
        <v>1</v>
      </c>
      <c r="W5" s="49" t="s">
        <v>18</v>
      </c>
      <c r="X5" s="78">
        <f>IF(M5,IF(P5,MIN('SE4X Production'!$E$42,2),X5),1)</f>
        <v>1</v>
      </c>
    </row>
    <row r="6" spans="1:24" ht="13" x14ac:dyDescent="0.3">
      <c r="A6" s="59" t="b">
        <v>0</v>
      </c>
      <c r="D6" s="59" t="b">
        <v>0</v>
      </c>
      <c r="E6" s="79"/>
      <c r="F6" s="47" t="s">
        <v>86</v>
      </c>
      <c r="G6" s="48">
        <f>IF(A6,IF(D6,MIN('SE4X Production'!$E$32,1),G6),0)</f>
        <v>0</v>
      </c>
      <c r="H6" s="48">
        <f>IF(A6,IF(D6,MIN('SE4X Production'!$E$33,1),H6),0)</f>
        <v>0</v>
      </c>
      <c r="I6" s="48">
        <f>IF(A6,IF(D6,MIN('SE4X Production'!$E$34,3),I6),0)</f>
        <v>0</v>
      </c>
      <c r="J6" s="48">
        <f>IF(A6,IF(D6,MIN('SE4X Production'!$E$35,7),J6),1)</f>
        <v>1</v>
      </c>
      <c r="K6" s="49" t="s">
        <v>16</v>
      </c>
      <c r="L6" s="50">
        <f>IF(A6,IF(D6,MIN('SE4X Production'!$E$41,3),L6),0)</f>
        <v>0</v>
      </c>
      <c r="M6" s="59" t="b">
        <v>0</v>
      </c>
      <c r="P6" s="59" t="b">
        <v>0</v>
      </c>
      <c r="Q6" s="59"/>
      <c r="R6" s="72" t="s">
        <v>56</v>
      </c>
      <c r="S6" s="48">
        <f>IF(M6,IF(P6,MIN('SE4X Production'!$E$32,2),S6),0)</f>
        <v>0</v>
      </c>
      <c r="T6" s="48">
        <f>IF(M6,IF(P6,MIN('SE4X Production'!$E$33,2),T6),0)</f>
        <v>0</v>
      </c>
      <c r="U6" s="48">
        <f>IF(M6,IF(P6,MIN('SE4X Production'!$E$34,3),U6),0)</f>
        <v>0</v>
      </c>
      <c r="V6" s="48">
        <f>IF(M6,IF(P6,MIN('SE4X Production'!$E$35,7),V6),1)</f>
        <v>1</v>
      </c>
      <c r="W6" s="49" t="s">
        <v>18</v>
      </c>
      <c r="X6" s="78">
        <f>IF(M6,IF(P6,MIN('SE4X Production'!$E$42,2),X6),1)</f>
        <v>1</v>
      </c>
    </row>
    <row r="7" spans="1:24" ht="13" x14ac:dyDescent="0.3">
      <c r="A7" s="59" t="b">
        <v>0</v>
      </c>
      <c r="D7" s="59" t="b">
        <v>0</v>
      </c>
      <c r="E7" s="79"/>
      <c r="F7" s="47" t="s">
        <v>87</v>
      </c>
      <c r="G7" s="48">
        <f>IF(A7,IF(D7,MIN('SE4X Production'!$E$32,1),G7),0)</f>
        <v>0</v>
      </c>
      <c r="H7" s="48">
        <f>IF(A7,IF(D7,MIN('SE4X Production'!$E$33,1),H7),0)</f>
        <v>0</v>
      </c>
      <c r="I7" s="48">
        <f>IF(A7,IF(D7,MIN('SE4X Production'!$E$34,3),I7),0)</f>
        <v>0</v>
      </c>
      <c r="J7" s="48">
        <f>IF(A7,IF(D7,MIN('SE4X Production'!$E$35,7),J7),1)</f>
        <v>1</v>
      </c>
      <c r="K7" s="49" t="s">
        <v>16</v>
      </c>
      <c r="L7" s="50">
        <f>IF(A7,IF(D7,MIN('SE4X Production'!$E$41,3),L7),0)</f>
        <v>0</v>
      </c>
      <c r="M7" s="59" t="b">
        <v>0</v>
      </c>
      <c r="P7" s="59" t="b">
        <v>0</v>
      </c>
      <c r="Q7" s="59"/>
      <c r="R7" s="72" t="s">
        <v>112</v>
      </c>
      <c r="S7" s="48">
        <f>IF(M7,IF(P7,MIN('SE4X Production'!$E$32,2),S7),0)</f>
        <v>0</v>
      </c>
      <c r="T7" s="48">
        <f>IF(M7,IF(P7,MIN('SE4X Production'!$E$33,2),T7),0)</f>
        <v>0</v>
      </c>
      <c r="U7" s="48">
        <f>IF(M7,IF(P7,MIN('SE4X Production'!$E$34,3),U7),0)</f>
        <v>0</v>
      </c>
      <c r="V7" s="48">
        <f>IF(M7,IF(P7,MIN('SE4X Production'!$E$35,7),V7),1)</f>
        <v>1</v>
      </c>
      <c r="W7" s="49" t="s">
        <v>18</v>
      </c>
      <c r="X7" s="78">
        <f>IF(M7,IF(P7,MIN('SE4X Production'!$E$42,2),X7),1)</f>
        <v>1</v>
      </c>
    </row>
    <row r="8" spans="1:24" ht="13" x14ac:dyDescent="0.3">
      <c r="A8" s="59" t="b">
        <v>0</v>
      </c>
      <c r="D8" s="59" t="b">
        <v>0</v>
      </c>
      <c r="E8" s="79"/>
      <c r="F8" s="47" t="s">
        <v>88</v>
      </c>
      <c r="G8" s="48">
        <f>IF(A8,IF(D8,MIN('SE4X Production'!$E$32,1),G8),0)</f>
        <v>0</v>
      </c>
      <c r="H8" s="48">
        <f>IF(A8,IF(D8,MIN('SE4X Production'!$E$33,1),H8),0)</f>
        <v>0</v>
      </c>
      <c r="I8" s="48">
        <f>IF(A8,IF(D8,MIN('SE4X Production'!$E$34,3),I8),0)</f>
        <v>0</v>
      </c>
      <c r="J8" s="48">
        <f>IF(A8,IF(D8,MIN('SE4X Production'!$E$35,7),J8),1)</f>
        <v>1</v>
      </c>
      <c r="K8" s="49" t="s">
        <v>16</v>
      </c>
      <c r="L8" s="50">
        <f>IF(A8,IF(D8,MIN('SE4X Production'!$E$41,3),L8),0)</f>
        <v>0</v>
      </c>
      <c r="M8" s="59" t="b">
        <v>0</v>
      </c>
      <c r="P8" s="59" t="b">
        <v>0</v>
      </c>
      <c r="Q8" s="59"/>
      <c r="R8" s="72" t="s">
        <v>113</v>
      </c>
      <c r="S8" s="48">
        <f>IF(M8,IF(P8,MIN('SE4X Production'!$E$32,2),S8),0)</f>
        <v>0</v>
      </c>
      <c r="T8" s="48">
        <f>IF(M8,IF(P8,MIN('SE4X Production'!$E$33,2),T8),0)</f>
        <v>0</v>
      </c>
      <c r="U8" s="48">
        <f>IF(M8,IF(P8,MIN('SE4X Production'!$E$34,3),U8),0)</f>
        <v>0</v>
      </c>
      <c r="V8" s="48">
        <f>IF(M8,IF(P8,MIN('SE4X Production'!$E$35,7),V8),1)</f>
        <v>1</v>
      </c>
      <c r="W8" s="49" t="s">
        <v>18</v>
      </c>
      <c r="X8" s="78">
        <f>IF(M8,IF(P8,MIN('SE4X Production'!$E$42,2),X8),1)</f>
        <v>1</v>
      </c>
    </row>
    <row r="9" spans="1:24" ht="13" x14ac:dyDescent="0.3">
      <c r="A9" s="59" t="b">
        <v>0</v>
      </c>
      <c r="D9" s="59" t="b">
        <v>0</v>
      </c>
      <c r="E9" s="79"/>
      <c r="F9" s="47" t="s">
        <v>89</v>
      </c>
      <c r="G9" s="48">
        <f>IF(A9,IF(D9,MIN('SE4X Production'!$E$32,1),G9),0)</f>
        <v>0</v>
      </c>
      <c r="H9" s="48">
        <f>IF(A9,IF(D9,MIN('SE4X Production'!$E$33,1),H9),0)</f>
        <v>0</v>
      </c>
      <c r="I9" s="48">
        <f>IF(A9,IF(D9,MIN('SE4X Production'!$E$34,3),I9),0)</f>
        <v>0</v>
      </c>
      <c r="J9" s="48">
        <f>IF(A9,IF(D9,MIN('SE4X Production'!$E$35,7),J9),1)</f>
        <v>1</v>
      </c>
      <c r="K9" s="49" t="s">
        <v>16</v>
      </c>
      <c r="L9" s="50">
        <f>IF(A9,IF(D9,MIN('SE4X Production'!$E$41,3),L9),0)</f>
        <v>0</v>
      </c>
      <c r="M9" s="59" t="b">
        <v>0</v>
      </c>
      <c r="P9" s="59" t="b">
        <v>0</v>
      </c>
      <c r="Q9" s="59"/>
      <c r="R9" s="73" t="s">
        <v>30</v>
      </c>
      <c r="S9" s="61">
        <f>IF(M9,IF(P9,MIN('SE4X Production'!$E$32,1),S9),0)</f>
        <v>0</v>
      </c>
      <c r="T9" s="61">
        <f>IF(M9,IF(P9,MIN('SE4X Production'!$E$33,1),T9),0)</f>
        <v>0</v>
      </c>
      <c r="U9" s="61">
        <f>IF(M9,IF(P9,MIN('SE4X Production'!$E$34,3),U9),0)</f>
        <v>0</v>
      </c>
      <c r="V9" s="61"/>
      <c r="W9" s="41" t="s">
        <v>14</v>
      </c>
      <c r="X9" s="42">
        <f>IF(M9,IF(P9,MIN('SE4X Production'!$E$40,3),X9),1)</f>
        <v>1</v>
      </c>
    </row>
    <row r="10" spans="1:24" ht="13" x14ac:dyDescent="0.3">
      <c r="A10" s="59" t="b">
        <v>0</v>
      </c>
      <c r="D10" s="59" t="b">
        <v>0</v>
      </c>
      <c r="E10" s="79"/>
      <c r="F10" s="47" t="s">
        <v>97</v>
      </c>
      <c r="G10" s="48">
        <f>IF(A10,IF(D10,MIN('SE4X Production'!$E$32,1),G10),0)</f>
        <v>0</v>
      </c>
      <c r="H10" s="48">
        <f>IF(A10,IF(D10,MIN('SE4X Production'!$E$33,1),H10),0)</f>
        <v>0</v>
      </c>
      <c r="I10" s="48">
        <f>IF(A10,IF(D10,MIN('SE4X Production'!$E$34,3),I10),0)</f>
        <v>0</v>
      </c>
      <c r="J10" s="48">
        <f>IF(A10,IF(D10,MIN('SE4X Production'!$E$35,7),J10),1)</f>
        <v>1</v>
      </c>
      <c r="K10" s="49" t="s">
        <v>16</v>
      </c>
      <c r="L10" s="50">
        <f>IF(A10,IF(D10,MIN('SE4X Production'!$E$41,3),L10),0)</f>
        <v>0</v>
      </c>
      <c r="M10" s="59" t="b">
        <v>0</v>
      </c>
      <c r="P10" s="59" t="b">
        <v>0</v>
      </c>
      <c r="Q10" s="59"/>
      <c r="R10" s="73" t="s">
        <v>31</v>
      </c>
      <c r="S10" s="61">
        <f>IF(M10,IF(P10,MIN('SE4X Production'!$E$32,1),S10),0)</f>
        <v>0</v>
      </c>
      <c r="T10" s="61">
        <f>IF(M10,IF(P10,MIN('SE4X Production'!$E$33,1),T10),0)</f>
        <v>0</v>
      </c>
      <c r="U10" s="61">
        <f>IF(M10,IF(P10,MIN('SE4X Production'!$E$34,3),U10),0)</f>
        <v>0</v>
      </c>
      <c r="V10" s="61"/>
      <c r="W10" s="41" t="s">
        <v>14</v>
      </c>
      <c r="X10" s="42">
        <f>IF(M10,IF(P10,MIN('SE4X Production'!$E$40,3),X10),1)</f>
        <v>1</v>
      </c>
    </row>
    <row r="11" spans="1:24" ht="13" x14ac:dyDescent="0.3">
      <c r="A11" s="59" t="b">
        <v>0</v>
      </c>
      <c r="D11" s="59" t="b">
        <v>0</v>
      </c>
      <c r="E11" s="59"/>
      <c r="F11" s="11" t="s">
        <v>35</v>
      </c>
      <c r="G11" s="61">
        <f>IF(A11,IF(D11,MIN('SE4X Production'!$E$32,1),G11),0)</f>
        <v>0</v>
      </c>
      <c r="H11" s="61">
        <f>IF(A11,IF(D11,MIN('SE4X Production'!$E$33,1),H11),0)</f>
        <v>0</v>
      </c>
      <c r="I11" s="61">
        <f>IF(A11,IF(D11,MIN('SE4X Production'!$E$34,3),I11),0)</f>
        <v>0</v>
      </c>
      <c r="J11" s="61">
        <f>IF(A11,IF(D11,MIN('SE4X Production'!$E$35,7),J11),1)</f>
        <v>1</v>
      </c>
      <c r="K11" s="41" t="s">
        <v>19</v>
      </c>
      <c r="L11" s="42">
        <f>IF(A11,IF(D11,MIN('SE4X Production'!$E$43,2),L11),0)</f>
        <v>0</v>
      </c>
      <c r="M11" s="59" t="b">
        <v>0</v>
      </c>
      <c r="P11" s="59" t="b">
        <v>0</v>
      </c>
      <c r="Q11" s="59"/>
      <c r="R11" s="73" t="s">
        <v>32</v>
      </c>
      <c r="S11" s="61">
        <f>IF(M11,IF(P11,MIN('SE4X Production'!$E$32,1),S11),0)</f>
        <v>0</v>
      </c>
      <c r="T11" s="61">
        <f>IF(M11,IF(P11,MIN('SE4X Production'!$E$33,1),T11),0)</f>
        <v>0</v>
      </c>
      <c r="U11" s="61">
        <f>IF(M11,IF(P11,MIN('SE4X Production'!$E$34,3),U11),0)</f>
        <v>0</v>
      </c>
      <c r="V11" s="61"/>
      <c r="W11" s="41" t="s">
        <v>14</v>
      </c>
      <c r="X11" s="42">
        <f>IF(M11,IF(P11,MIN('SE4X Production'!$E$40,3),X11),1)</f>
        <v>1</v>
      </c>
    </row>
    <row r="12" spans="1:24" ht="13" x14ac:dyDescent="0.3">
      <c r="A12" s="59" t="b">
        <v>0</v>
      </c>
      <c r="D12" s="59" t="b">
        <v>0</v>
      </c>
      <c r="E12" s="59"/>
      <c r="F12" s="11" t="s">
        <v>37</v>
      </c>
      <c r="G12" s="61">
        <f>IF(A12,IF(D12,MIN('SE4X Production'!$E$32,1),G12),0)</f>
        <v>0</v>
      </c>
      <c r="H12" s="61">
        <f>IF(A12,IF(D12,MIN('SE4X Production'!$E$33,1),H12),0)</f>
        <v>0</v>
      </c>
      <c r="I12" s="61">
        <f>IF(A12,IF(D12,MIN('SE4X Production'!$E$34,3),I12),0)</f>
        <v>0</v>
      </c>
      <c r="J12" s="61">
        <f>IF(A12,IF(D12,MIN('SE4X Production'!$E$35,7),J12),1)</f>
        <v>1</v>
      </c>
      <c r="K12" s="41" t="s">
        <v>19</v>
      </c>
      <c r="L12" s="42">
        <f>IF(A12,IF(D12,MIN('SE4X Production'!$E$43,2),L12),0)</f>
        <v>0</v>
      </c>
      <c r="M12" s="59" t="b">
        <v>0</v>
      </c>
      <c r="P12" s="59" t="b">
        <v>0</v>
      </c>
      <c r="Q12" s="59"/>
      <c r="R12" s="73" t="s">
        <v>33</v>
      </c>
      <c r="S12" s="61">
        <f>IF(M12,IF(P12,MIN('SE4X Production'!$E$32,1),S12),0)</f>
        <v>0</v>
      </c>
      <c r="T12" s="61">
        <f>IF(M12,IF(P12,MIN('SE4X Production'!$E$33,1),T12),0)</f>
        <v>0</v>
      </c>
      <c r="U12" s="61">
        <f>IF(M12,IF(P12,MIN('SE4X Production'!$E$34,3),U12),0)</f>
        <v>0</v>
      </c>
      <c r="V12" s="61"/>
      <c r="W12" s="41" t="s">
        <v>14</v>
      </c>
      <c r="X12" s="42">
        <f>IF(M12,IF(P12,MIN('SE4X Production'!$E$40,3),X12),1)</f>
        <v>1</v>
      </c>
    </row>
    <row r="13" spans="1:24" ht="13" x14ac:dyDescent="0.3">
      <c r="A13" s="59" t="b">
        <v>0</v>
      </c>
      <c r="D13" s="59" t="b">
        <v>0</v>
      </c>
      <c r="E13" s="59"/>
      <c r="F13" s="11" t="s">
        <v>39</v>
      </c>
      <c r="G13" s="61">
        <f>IF(A13,IF(D13,MIN('SE4X Production'!$E$32,1),G13),0)</f>
        <v>0</v>
      </c>
      <c r="H13" s="61">
        <f>IF(A13,IF(D13,MIN('SE4X Production'!$E$33,1),H13),0)</f>
        <v>0</v>
      </c>
      <c r="I13" s="61">
        <f>IF(A13,IF(D13,MIN('SE4X Production'!$E$34,3),I13),0)</f>
        <v>0</v>
      </c>
      <c r="J13" s="61">
        <f>IF(A13,IF(D13,MIN('SE4X Production'!$E$35,7),J13),1)</f>
        <v>1</v>
      </c>
      <c r="K13" s="41" t="s">
        <v>19</v>
      </c>
      <c r="L13" s="42">
        <f>IF(A13,IF(D13,MIN('SE4X Production'!$E$43,2),L13),0)</f>
        <v>0</v>
      </c>
      <c r="M13" s="59" t="b">
        <v>0</v>
      </c>
      <c r="P13" s="59" t="b">
        <v>0</v>
      </c>
      <c r="Q13" s="59"/>
      <c r="R13" s="73" t="s">
        <v>34</v>
      </c>
      <c r="S13" s="61">
        <f>IF(M13,IF(P13,MIN('SE4X Production'!$E$32,1),S13),0)</f>
        <v>0</v>
      </c>
      <c r="T13" s="61">
        <f>IF(M13,IF(P13,MIN('SE4X Production'!$E$33,1),T13),0)</f>
        <v>0</v>
      </c>
      <c r="U13" s="61">
        <f>IF(M13,IF(P13,MIN('SE4X Production'!$E$34,3),U13),0)</f>
        <v>0</v>
      </c>
      <c r="V13" s="61"/>
      <c r="W13" s="41" t="s">
        <v>14</v>
      </c>
      <c r="X13" s="42">
        <f>IF(M13,IF(P13,MIN('SE4X Production'!$E$40,3),X13),1)</f>
        <v>1</v>
      </c>
    </row>
    <row r="14" spans="1:24" ht="13" x14ac:dyDescent="0.3">
      <c r="A14" s="59" t="b">
        <v>0</v>
      </c>
      <c r="D14" s="59" t="b">
        <v>0</v>
      </c>
      <c r="E14" s="59"/>
      <c r="F14" s="11" t="s">
        <v>41</v>
      </c>
      <c r="G14" s="61">
        <f>IF(A14,IF(D14,MIN('SE4X Production'!$E$32,1),G14),0)</f>
        <v>0</v>
      </c>
      <c r="H14" s="61">
        <f>IF(A14,IF(D14,MIN('SE4X Production'!$E$33,1),H14),0)</f>
        <v>0</v>
      </c>
      <c r="I14" s="61">
        <f>IF(A14,IF(D14,MIN('SE4X Production'!$E$34,3),I14),0)</f>
        <v>0</v>
      </c>
      <c r="J14" s="61">
        <f>IF(A14,IF(D14,MIN('SE4X Production'!$E$35,7),J14),1)</f>
        <v>1</v>
      </c>
      <c r="K14" s="41" t="s">
        <v>19</v>
      </c>
      <c r="L14" s="42">
        <f>IF(A14,IF(D14,MIN('SE4X Production'!$E$43,2),L14),0)</f>
        <v>0</v>
      </c>
      <c r="M14" s="59" t="b">
        <v>0</v>
      </c>
      <c r="P14" s="59" t="b">
        <v>0</v>
      </c>
      <c r="Q14" s="59"/>
      <c r="R14" s="73" t="s">
        <v>36</v>
      </c>
      <c r="S14" s="61">
        <f>IF(M14,IF(P14,MIN('SE4X Production'!$E$32,1),S14),0)</f>
        <v>0</v>
      </c>
      <c r="T14" s="61">
        <f>IF(M14,IF(P14,MIN('SE4X Production'!$E$33,1),T14),0)</f>
        <v>0</v>
      </c>
      <c r="U14" s="61">
        <f>IF(M14,IF(P14,MIN('SE4X Production'!$E$34,3),U14),0)</f>
        <v>0</v>
      </c>
      <c r="V14" s="61"/>
      <c r="W14" s="41" t="s">
        <v>14</v>
      </c>
      <c r="X14" s="42">
        <f>IF(M14,IF(P14,MIN('SE4X Production'!$E$40,3),X14),1)</f>
        <v>1</v>
      </c>
    </row>
    <row r="15" spans="1:24" ht="13" x14ac:dyDescent="0.3">
      <c r="A15" s="59" t="b">
        <v>0</v>
      </c>
      <c r="D15" s="59" t="b">
        <v>0</v>
      </c>
      <c r="E15" s="59"/>
      <c r="F15" s="11" t="s">
        <v>98</v>
      </c>
      <c r="G15" s="61">
        <f>IF(A15,IF(D15,MIN('SE4X Production'!$E$32,1),G15),0)</f>
        <v>0</v>
      </c>
      <c r="H15" s="61">
        <f>IF(A15,IF(D15,MIN('SE4X Production'!$E$33,1),H15),0)</f>
        <v>0</v>
      </c>
      <c r="I15" s="61">
        <f>IF(A15,IF(D15,MIN('SE4X Production'!$E$34,3),I15),0)</f>
        <v>0</v>
      </c>
      <c r="J15" s="61">
        <f>IF(A15,IF(D15,MIN('SE4X Production'!$E$35,7),J15),1)</f>
        <v>1</v>
      </c>
      <c r="K15" s="41" t="s">
        <v>19</v>
      </c>
      <c r="L15" s="42">
        <f>IF(A15,IF(D15,MIN('SE4X Production'!$E$43,2),L15),0)</f>
        <v>0</v>
      </c>
      <c r="M15" s="59" t="b">
        <v>0</v>
      </c>
      <c r="P15" s="59" t="b">
        <v>0</v>
      </c>
      <c r="Q15" s="59"/>
      <c r="R15" s="73" t="s">
        <v>38</v>
      </c>
      <c r="S15" s="61">
        <f>IF(M15,IF(P15,MIN('SE4X Production'!$E$32,1),S15),0)</f>
        <v>0</v>
      </c>
      <c r="T15" s="61">
        <f>IF(M15,IF(P15,MIN('SE4X Production'!$E$33,1),T15),0)</f>
        <v>0</v>
      </c>
      <c r="U15" s="61">
        <f>IF(M15,IF(P15,MIN('SE4X Production'!$E$34,3),U15),0)</f>
        <v>0</v>
      </c>
      <c r="V15" s="61"/>
      <c r="W15" s="41" t="s">
        <v>14</v>
      </c>
      <c r="X15" s="42">
        <f>IF(M15,IF(P15,MIN('SE4X Production'!$E$40,3),X15),1)</f>
        <v>1</v>
      </c>
    </row>
    <row r="16" spans="1:24" ht="13" x14ac:dyDescent="0.3">
      <c r="A16" s="59" t="b">
        <v>0</v>
      </c>
      <c r="D16" s="59" t="b">
        <v>0</v>
      </c>
      <c r="E16" s="59"/>
      <c r="F16" s="11" t="s">
        <v>99</v>
      </c>
      <c r="G16" s="61">
        <f>IF(A16,IF(D16,MIN('SE4X Production'!$E$32,1),G16),0)</f>
        <v>0</v>
      </c>
      <c r="H16" s="61">
        <f>IF(A16,IF(D16,MIN('SE4X Production'!$E$33,1),H16),0)</f>
        <v>0</v>
      </c>
      <c r="I16" s="61">
        <f>IF(A16,IF(D16,MIN('SE4X Production'!$E$34,3),I16),0)</f>
        <v>0</v>
      </c>
      <c r="J16" s="61">
        <f>IF(A16,IF(D16,MIN('SE4X Production'!$E$35,7),J16),1)</f>
        <v>1</v>
      </c>
      <c r="K16" s="41" t="s">
        <v>19</v>
      </c>
      <c r="L16" s="42">
        <f>IF(A16,IF(D16,MIN('SE4X Production'!$E$43,2),L16),0)</f>
        <v>0</v>
      </c>
      <c r="M16" s="59" t="b">
        <v>0</v>
      </c>
      <c r="P16" s="59" t="b">
        <v>0</v>
      </c>
      <c r="Q16" s="59"/>
      <c r="R16" s="73" t="s">
        <v>40</v>
      </c>
      <c r="S16" s="61">
        <f>IF(M16,IF(P16,MIN('SE4X Production'!$E$32,1),S16),0)</f>
        <v>0</v>
      </c>
      <c r="T16" s="61">
        <f>IF(M16,IF(P16,MIN('SE4X Production'!$E$33,1),T16),0)</f>
        <v>0</v>
      </c>
      <c r="U16" s="61">
        <f>IF(M16,IF(P16,MIN('SE4X Production'!$E$34,3),U16),0)</f>
        <v>0</v>
      </c>
      <c r="V16" s="61"/>
      <c r="W16" s="41" t="s">
        <v>14</v>
      </c>
      <c r="X16" s="42">
        <f>IF(M16,IF(P16,MIN('SE4X Production'!$E$40,3),X16),1)</f>
        <v>1</v>
      </c>
    </row>
    <row r="17" spans="1:24" ht="13" x14ac:dyDescent="0.3">
      <c r="A17" s="59" t="b">
        <v>0</v>
      </c>
      <c r="D17" s="59" t="b">
        <v>0</v>
      </c>
      <c r="E17" s="59"/>
      <c r="F17" s="47" t="s">
        <v>43</v>
      </c>
      <c r="G17" s="62">
        <f>IF(A17,IF(D17,MIN('SE4X Production'!$E$32,2),G17),0)</f>
        <v>0</v>
      </c>
      <c r="H17" s="62">
        <f>IF(A17,IF(D17,MIN('SE4X Production'!$E$33,2),H17),0)</f>
        <v>0</v>
      </c>
      <c r="I17" s="62">
        <f>IF(A17,IF(D17,MIN('SE4X Production'!$E$34,3),I17),0)</f>
        <v>0</v>
      </c>
      <c r="J17" s="62">
        <f>IF(A17,IF(D17,MIN('SE4X Production'!$E$35,7),J17),1)</f>
        <v>1</v>
      </c>
      <c r="K17" s="49" t="s">
        <v>22</v>
      </c>
      <c r="L17" s="63">
        <f>IF(A17,IF(D17,MIN('SE4X Production'!$E$38,1),L17),0)</f>
        <v>0</v>
      </c>
      <c r="M17" s="59" t="b">
        <v>0</v>
      </c>
      <c r="P17" s="59" t="b">
        <v>0</v>
      </c>
      <c r="Q17" s="59"/>
      <c r="R17" s="73" t="s">
        <v>107</v>
      </c>
      <c r="S17" s="61">
        <f>IF(M17,IF(P17,MIN('SE4X Production'!$E$32,1),S17),0)</f>
        <v>0</v>
      </c>
      <c r="T17" s="61">
        <f>IF(M17,IF(P17,MIN('SE4X Production'!$E$33,1),T17),0)</f>
        <v>0</v>
      </c>
      <c r="U17" s="61">
        <f>IF(M17,IF(P17,MIN('SE4X Production'!$E$34,3),U17),0)</f>
        <v>0</v>
      </c>
      <c r="V17" s="61"/>
      <c r="W17" s="41" t="s">
        <v>14</v>
      </c>
      <c r="X17" s="42">
        <f>IF(M17,IF(P17,MIN('SE4X Production'!$E$40,3),X17),1)</f>
        <v>1</v>
      </c>
    </row>
    <row r="18" spans="1:24" ht="13" x14ac:dyDescent="0.3">
      <c r="A18" s="59" t="b">
        <v>0</v>
      </c>
      <c r="D18" s="59" t="b">
        <v>0</v>
      </c>
      <c r="E18" s="59"/>
      <c r="F18" s="47" t="s">
        <v>45</v>
      </c>
      <c r="G18" s="62">
        <f>IF(A18,IF(D18,MIN('SE4X Production'!$E$32,2),G18),0)</f>
        <v>0</v>
      </c>
      <c r="H18" s="62">
        <f>IF(A18,IF(D18,MIN('SE4X Production'!$E$33,2),H18),0)</f>
        <v>0</v>
      </c>
      <c r="I18" s="62">
        <f>IF(A18,IF(D18,MIN('SE4X Production'!$E$34,3),I18),0)</f>
        <v>0</v>
      </c>
      <c r="J18" s="62">
        <f>IF(A18,IF(D18,MIN('SE4X Production'!$E$35,7),J18),1)</f>
        <v>1</v>
      </c>
      <c r="K18" s="49" t="s">
        <v>22</v>
      </c>
      <c r="L18" s="63">
        <f>IF(A18,IF(D18,MIN('SE4X Production'!$E$38,1),L18),0)</f>
        <v>0</v>
      </c>
      <c r="M18" s="59" t="b">
        <v>0</v>
      </c>
      <c r="P18" s="59" t="b">
        <v>0</v>
      </c>
      <c r="Q18" s="59"/>
      <c r="R18" s="73" t="s">
        <v>108</v>
      </c>
      <c r="S18" s="61">
        <f>IF(M18,IF(P18,MIN('SE4X Production'!$E$32,1),S18),0)</f>
        <v>0</v>
      </c>
      <c r="T18" s="61">
        <f>IF(M18,IF(P18,MIN('SE4X Production'!$E$33,1),T18),0)</f>
        <v>0</v>
      </c>
      <c r="U18" s="61">
        <f>IF(M18,IF(P18,MIN('SE4X Production'!$E$34,3),U18),0)</f>
        <v>0</v>
      </c>
      <c r="V18" s="61"/>
      <c r="W18" s="41" t="s">
        <v>14</v>
      </c>
      <c r="X18" s="42">
        <f>IF(M18,IF(P18,MIN('SE4X Production'!$E$40,3),X18),1)</f>
        <v>1</v>
      </c>
    </row>
    <row r="19" spans="1:24" ht="13" x14ac:dyDescent="0.3">
      <c r="A19" s="59" t="b">
        <v>0</v>
      </c>
      <c r="D19" s="59" t="b">
        <v>0</v>
      </c>
      <c r="E19" s="59"/>
      <c r="F19" s="47" t="s">
        <v>47</v>
      </c>
      <c r="G19" s="62">
        <f>IF(A19,IF(D19,MIN('SE4X Production'!$E$32,2),G19),0)</f>
        <v>0</v>
      </c>
      <c r="H19" s="62">
        <f>IF(A19,IF(D19,MIN('SE4X Production'!$E$33,2),H19),0)</f>
        <v>0</v>
      </c>
      <c r="I19" s="62">
        <f>IF(A19,IF(D19,MIN('SE4X Production'!$E$34,3),I19),0)</f>
        <v>0</v>
      </c>
      <c r="J19" s="62">
        <f>IF(A19,IF(D19,MIN('SE4X Production'!$E$35,7),J19),1)</f>
        <v>1</v>
      </c>
      <c r="K19" s="49" t="s">
        <v>22</v>
      </c>
      <c r="L19" s="63">
        <f>IF(A19,IF(D19,MIN('SE4X Production'!$E$38,1),L19),0)</f>
        <v>0</v>
      </c>
      <c r="M19" s="59" t="b">
        <v>0</v>
      </c>
      <c r="P19" s="59" t="b">
        <v>0</v>
      </c>
      <c r="Q19" s="59"/>
      <c r="R19" s="74" t="s">
        <v>42</v>
      </c>
      <c r="S19" s="48">
        <f>IF(M19,IF(P19,MIN('SE4X Production'!$E$32,1),S19),0)</f>
        <v>0</v>
      </c>
      <c r="T19" s="62">
        <f>IF(M19,IF(P19,MIN('SE4X Production'!$E$33,1),T19),0)</f>
        <v>0</v>
      </c>
      <c r="U19" s="62">
        <f>IF(M19,IF(P19,MIN('SE4X Production'!$E$34,3),U19),0)</f>
        <v>0</v>
      </c>
      <c r="V19" s="48">
        <f>IF(M19,IF(P19,MIN('SE4X Production'!$E$35,7),V19),1)</f>
        <v>1</v>
      </c>
      <c r="W19" s="75"/>
      <c r="X19" s="66"/>
    </row>
    <row r="20" spans="1:24" ht="13" x14ac:dyDescent="0.3">
      <c r="A20" s="59" t="b">
        <v>0</v>
      </c>
      <c r="D20" s="59" t="b">
        <v>0</v>
      </c>
      <c r="E20" s="59"/>
      <c r="F20" s="47" t="s">
        <v>49</v>
      </c>
      <c r="G20" s="62">
        <f>IF(A20,IF(D20,MIN('SE4X Production'!$E$32,2),G20),0)</f>
        <v>0</v>
      </c>
      <c r="H20" s="62">
        <f>IF(A20,IF(D20,MIN('SE4X Production'!$E$33,2),H20),0)</f>
        <v>0</v>
      </c>
      <c r="I20" s="62">
        <f>IF(A20,IF(D20,MIN('SE4X Production'!$E$34,3),I20),0)</f>
        <v>0</v>
      </c>
      <c r="J20" s="62">
        <f>IF(A20,IF(D20,MIN('SE4X Production'!$E$35,7),J20),1)</f>
        <v>1</v>
      </c>
      <c r="K20" s="49" t="s">
        <v>22</v>
      </c>
      <c r="L20" s="63">
        <f>IF(A20,IF(D20,MIN('SE4X Production'!$E$38,1),L20),0)</f>
        <v>0</v>
      </c>
      <c r="M20" s="59" t="b">
        <v>0</v>
      </c>
      <c r="P20" s="59" t="b">
        <v>0</v>
      </c>
      <c r="Q20" s="59"/>
      <c r="R20" s="74" t="s">
        <v>44</v>
      </c>
      <c r="S20" s="48">
        <f>IF(M20,IF(P20,MIN('SE4X Production'!$E$32,1),S20),0)</f>
        <v>0</v>
      </c>
      <c r="T20" s="62">
        <f>IF(M20,IF(P20,MIN('SE4X Production'!$E$33,1),T20),0)</f>
        <v>0</v>
      </c>
      <c r="U20" s="62">
        <f>IF(M20,IF(P20,MIN('SE4X Production'!$E$34,3),U20),0)</f>
        <v>0</v>
      </c>
      <c r="V20" s="48">
        <f>IF(M20,IF(P20,MIN('SE4X Production'!$E$35,7),V20),1)</f>
        <v>1</v>
      </c>
      <c r="W20" s="75"/>
      <c r="X20" s="66"/>
    </row>
    <row r="21" spans="1:24" ht="13" x14ac:dyDescent="0.3">
      <c r="A21" s="59" t="b">
        <v>0</v>
      </c>
      <c r="D21" s="59" t="b">
        <v>0</v>
      </c>
      <c r="E21" s="59"/>
      <c r="F21" s="47" t="s">
        <v>100</v>
      </c>
      <c r="G21" s="62">
        <f>IF(A21,IF(D21,MIN('SE4X Production'!$E$32,2),G21),0)</f>
        <v>0</v>
      </c>
      <c r="H21" s="62">
        <f>IF(A21,IF(D21,MIN('SE4X Production'!$E$33,2),H21),0)</f>
        <v>0</v>
      </c>
      <c r="I21" s="62">
        <f>IF(A21,IF(D21,MIN('SE4X Production'!$E$34,3),I21),0)</f>
        <v>0</v>
      </c>
      <c r="J21" s="62">
        <f>IF(A21,IF(D21,MIN('SE4X Production'!$E$35,7),J21),1)</f>
        <v>1</v>
      </c>
      <c r="K21" s="49" t="s">
        <v>22</v>
      </c>
      <c r="L21" s="63">
        <f>IF(A21,IF(D21,MIN('SE4X Production'!$E$38,1),L21),0)</f>
        <v>0</v>
      </c>
      <c r="M21" s="59" t="b">
        <v>0</v>
      </c>
      <c r="P21" s="59" t="b">
        <v>0</v>
      </c>
      <c r="Q21" s="59"/>
      <c r="R21" s="74" t="s">
        <v>46</v>
      </c>
      <c r="S21" s="48">
        <f>IF(M21,IF(P21,MIN('SE4X Production'!$E$32,1),S21),0)</f>
        <v>0</v>
      </c>
      <c r="T21" s="62">
        <f>IF(M21,IF(P21,MIN('SE4X Production'!$E$33,1),T21),0)</f>
        <v>0</v>
      </c>
      <c r="U21" s="62">
        <f>IF(M21,IF(P21,MIN('SE4X Production'!$E$34,3),U21),0)</f>
        <v>0</v>
      </c>
      <c r="V21" s="48">
        <f>IF(M21,IF(P21,MIN('SE4X Production'!$E$35,7),V21),1)</f>
        <v>1</v>
      </c>
      <c r="W21" s="75"/>
      <c r="X21" s="66"/>
    </row>
    <row r="22" spans="1:24" ht="13" x14ac:dyDescent="0.3">
      <c r="A22" s="59" t="b">
        <v>0</v>
      </c>
      <c r="D22" s="59" t="b">
        <v>0</v>
      </c>
      <c r="E22" s="59"/>
      <c r="F22" s="47" t="s">
        <v>101</v>
      </c>
      <c r="G22" s="62">
        <f>IF(A22,IF(D22,MIN('SE4X Production'!$E$32,2),G22),0)</f>
        <v>0</v>
      </c>
      <c r="H22" s="62">
        <f>IF(A22,IF(D22,MIN('SE4X Production'!$E$33,2),H22),0)</f>
        <v>0</v>
      </c>
      <c r="I22" s="62">
        <f>IF(A22,IF(D22,MIN('SE4X Production'!$E$34,3),I22),0)</f>
        <v>0</v>
      </c>
      <c r="J22" s="62">
        <f>IF(A22,IF(D22,MIN('SE4X Production'!$E$35,7),J22),1)</f>
        <v>1</v>
      </c>
      <c r="K22" s="49" t="s">
        <v>22</v>
      </c>
      <c r="L22" s="63">
        <f>IF(A22,IF(D22,MIN('SE4X Production'!$E$38,1),L22),0)</f>
        <v>0</v>
      </c>
      <c r="M22" s="59" t="b">
        <v>0</v>
      </c>
      <c r="P22" s="59" t="b">
        <v>0</v>
      </c>
      <c r="Q22" s="59"/>
      <c r="R22" s="74" t="s">
        <v>48</v>
      </c>
      <c r="S22" s="48">
        <f>IF(M22,IF(P22,MIN('SE4X Production'!$E$32,1),S22),0)</f>
        <v>0</v>
      </c>
      <c r="T22" s="62">
        <f>IF(M22,IF(P22,MIN('SE4X Production'!$E$33,1),T22),0)</f>
        <v>0</v>
      </c>
      <c r="U22" s="62">
        <f>IF(M22,IF(P22,MIN('SE4X Production'!$E$34,3),U22),0)</f>
        <v>0</v>
      </c>
      <c r="V22" s="48">
        <f>IF(M22,IF(P22,MIN('SE4X Production'!$E$35,7),V22),1)</f>
        <v>1</v>
      </c>
      <c r="W22" s="75"/>
      <c r="X22" s="66"/>
    </row>
    <row r="23" spans="1:24" ht="13" x14ac:dyDescent="0.3">
      <c r="A23" s="59" t="b">
        <v>0</v>
      </c>
      <c r="D23" s="59" t="b">
        <v>0</v>
      </c>
      <c r="E23" s="59"/>
      <c r="F23" s="11" t="s">
        <v>51</v>
      </c>
      <c r="G23" s="61">
        <f>IF(A23,IF(D23,MIN('SE4X Production'!$E$32,2),G23),0)</f>
        <v>0</v>
      </c>
      <c r="H23" s="61">
        <f>IF(A23,IF(D23,MIN('SE4X Production'!$E$33,2),H23),0)</f>
        <v>0</v>
      </c>
      <c r="I23" s="61">
        <f>IF(A23,IF(D23,MIN('SE4X Production'!$E$34,3),I23),0)</f>
        <v>0</v>
      </c>
      <c r="J23" s="61">
        <f>IF(A23,IF(D23,MIN('SE4X Production'!$E$35,7),J23),1)</f>
        <v>1</v>
      </c>
      <c r="K23" s="43"/>
      <c r="L23" s="44"/>
      <c r="M23" s="59" t="b">
        <v>0</v>
      </c>
      <c r="P23" s="59" t="b">
        <v>0</v>
      </c>
      <c r="Q23" s="59"/>
      <c r="R23" s="74" t="s">
        <v>114</v>
      </c>
      <c r="S23" s="48">
        <f>IF(M23,IF(P23,MIN('SE4X Production'!$E$32,1),S23),0)</f>
        <v>0</v>
      </c>
      <c r="T23" s="62">
        <f>IF(M23,IF(P23,MIN('SE4X Production'!$E$33,1),T23),0)</f>
        <v>0</v>
      </c>
      <c r="U23" s="62">
        <f>IF(M23,IF(P23,MIN('SE4X Production'!$E$34,3),U23),0)</f>
        <v>0</v>
      </c>
      <c r="V23" s="48">
        <f>IF(M23,IF(P23,MIN('SE4X Production'!$E$35,7),V23),1)</f>
        <v>1</v>
      </c>
      <c r="W23" s="75"/>
      <c r="X23" s="66"/>
    </row>
    <row r="24" spans="1:24" ht="13" x14ac:dyDescent="0.3">
      <c r="A24" s="59" t="b">
        <v>0</v>
      </c>
      <c r="D24" s="59" t="b">
        <v>0</v>
      </c>
      <c r="E24" s="59"/>
      <c r="F24" s="11" t="s">
        <v>53</v>
      </c>
      <c r="G24" s="61">
        <f>IF(A24,IF(D24,MIN('SE4X Production'!$E$32,2),G24),0)</f>
        <v>0</v>
      </c>
      <c r="H24" s="61">
        <f>IF(A24,IF(D24,MIN('SE4X Production'!$E$33,2),H24),0)</f>
        <v>0</v>
      </c>
      <c r="I24" s="61">
        <f>IF(A24,IF(D24,MIN('SE4X Production'!$E$34,3),I24),0)</f>
        <v>0</v>
      </c>
      <c r="J24" s="61">
        <f>IF(A24,IF(D24,MIN('SE4X Production'!$E$35,7),J24),1)</f>
        <v>1</v>
      </c>
      <c r="K24" s="43"/>
      <c r="L24" s="44"/>
      <c r="M24" s="59" t="b">
        <v>0</v>
      </c>
      <c r="P24" s="59" t="b">
        <v>0</v>
      </c>
      <c r="Q24" s="59"/>
      <c r="R24" s="74" t="s">
        <v>115</v>
      </c>
      <c r="S24" s="48">
        <f>IF(M24,IF(P24,MIN('SE4X Production'!$E$32,1),S24),0)</f>
        <v>0</v>
      </c>
      <c r="T24" s="62">
        <f>IF(M24,IF(P24,MIN('SE4X Production'!$E$33,1),T24),0)</f>
        <v>0</v>
      </c>
      <c r="U24" s="62">
        <f>IF(M24,IF(P24,MIN('SE4X Production'!$E$34,3),U24),0)</f>
        <v>0</v>
      </c>
      <c r="V24" s="48">
        <f>IF(M24,IF(P24,MIN('SE4X Production'!$E$35,7),V24),1)</f>
        <v>1</v>
      </c>
      <c r="W24" s="75"/>
      <c r="X24" s="66"/>
    </row>
    <row r="25" spans="1:24" ht="13" x14ac:dyDescent="0.3">
      <c r="A25" s="59" t="b">
        <v>0</v>
      </c>
      <c r="D25" s="59" t="b">
        <v>0</v>
      </c>
      <c r="E25" s="59"/>
      <c r="F25" s="11" t="s">
        <v>55</v>
      </c>
      <c r="G25" s="61">
        <f>IF(A25,IF(D25,MIN('SE4X Production'!$E$32,2),G25),0)</f>
        <v>0</v>
      </c>
      <c r="H25" s="61">
        <f>IF(A25,IF(D25,MIN('SE4X Production'!$E$33,2),H25),0)</f>
        <v>0</v>
      </c>
      <c r="I25" s="61">
        <f>IF(A25,IF(D25,MIN('SE4X Production'!$E$34,3),I25),0)</f>
        <v>0</v>
      </c>
      <c r="J25" s="61">
        <f>IF(A25,IF(D25,MIN('SE4X Production'!$E$35,7),J25),1)</f>
        <v>1</v>
      </c>
      <c r="K25" s="43"/>
      <c r="L25" s="44"/>
      <c r="M25" s="59" t="b">
        <v>0</v>
      </c>
      <c r="P25" s="59" t="b">
        <v>0</v>
      </c>
      <c r="Q25" s="59"/>
      <c r="R25" s="73" t="s">
        <v>58</v>
      </c>
      <c r="S25" s="61">
        <f>IF(M25,IF(P25,MIN('SE4X Production'!$E$32,1),S25),0)</f>
        <v>0</v>
      </c>
      <c r="T25" s="61">
        <f>IF(M25,IF(P25,MIN('SE4X Production'!$E$33,1),T25),0)</f>
        <v>0</v>
      </c>
      <c r="U25" s="61">
        <f>IF(M25,IF(P25,MIN('SE4X Production'!$E$34,3),U25),0)</f>
        <v>0</v>
      </c>
      <c r="V25" s="61">
        <f>IF(M25,IF(P25,MIN('SE4X Production'!$E$35,7),V25),1)</f>
        <v>1</v>
      </c>
      <c r="W25" s="41" t="s">
        <v>59</v>
      </c>
      <c r="X25" s="42">
        <f>IF(M25,IF(P25,MIN('SE4X Production'!$E$45,2),X25),1)</f>
        <v>1</v>
      </c>
    </row>
    <row r="26" spans="1:24" ht="13" x14ac:dyDescent="0.3">
      <c r="A26" s="59" t="b">
        <v>0</v>
      </c>
      <c r="D26" s="59" t="b">
        <v>0</v>
      </c>
      <c r="E26" s="59"/>
      <c r="F26" s="11" t="s">
        <v>57</v>
      </c>
      <c r="G26" s="61">
        <f>IF(A26,IF(D26,MIN('SE4X Production'!$E$32,2),G26),0)</f>
        <v>0</v>
      </c>
      <c r="H26" s="61">
        <f>IF(A26,IF(D26,MIN('SE4X Production'!$E$33,2),H26),0)</f>
        <v>0</v>
      </c>
      <c r="I26" s="61">
        <f>IF(A26,IF(D26,MIN('SE4X Production'!$E$34,3),I26),0)</f>
        <v>0</v>
      </c>
      <c r="J26" s="61">
        <f>IF(A26,IF(D26,MIN('SE4X Production'!$E$35,7),J26),1)</f>
        <v>1</v>
      </c>
      <c r="K26" s="43"/>
      <c r="L26" s="44"/>
      <c r="M26" s="59" t="b">
        <v>0</v>
      </c>
      <c r="P26" s="59" t="b">
        <v>0</v>
      </c>
      <c r="Q26" s="59"/>
      <c r="R26" s="73" t="s">
        <v>61</v>
      </c>
      <c r="S26" s="61">
        <f>IF(M26,IF(P26,MIN('SE4X Production'!$E$32,1),S26),0)</f>
        <v>0</v>
      </c>
      <c r="T26" s="61">
        <f>IF(M26,IF(P26,MIN('SE4X Production'!$E$33,1),T26),0)</f>
        <v>0</v>
      </c>
      <c r="U26" s="61">
        <f>IF(M26,IF(P26,MIN('SE4X Production'!$E$34,3),U26),0)</f>
        <v>0</v>
      </c>
      <c r="V26" s="61">
        <f>IF(M26,IF(P26,MIN('SE4X Production'!$E$35,7),V26),1)</f>
        <v>1</v>
      </c>
      <c r="W26" s="41" t="s">
        <v>59</v>
      </c>
      <c r="X26" s="42">
        <f>IF(M26,IF(P26,MIN('SE4X Production'!$E$45,2),X26),1)</f>
        <v>1</v>
      </c>
    </row>
    <row r="27" spans="1:24" ht="13" x14ac:dyDescent="0.3">
      <c r="A27" s="59" t="b">
        <v>0</v>
      </c>
      <c r="D27" s="59" t="b">
        <v>0</v>
      </c>
      <c r="E27" s="59"/>
      <c r="F27" s="11" t="s">
        <v>116</v>
      </c>
      <c r="G27" s="61">
        <f>IF(A27,IF(D27,MIN('SE4X Production'!$E$32,2),G27),0)</f>
        <v>0</v>
      </c>
      <c r="H27" s="61">
        <f>IF(A27,IF(D27,MIN('SE4X Production'!$E$33,2),H27),0)</f>
        <v>0</v>
      </c>
      <c r="I27" s="61">
        <f>IF(A27,IF(D27,MIN('SE4X Production'!$E$34,3),I27),0)</f>
        <v>0</v>
      </c>
      <c r="J27" s="61">
        <f>IF(A27,IF(D27,MIN('SE4X Production'!$E$35,7),J27),1)</f>
        <v>1</v>
      </c>
      <c r="K27" s="43"/>
      <c r="L27" s="44"/>
      <c r="M27" s="59" t="b">
        <v>0</v>
      </c>
      <c r="P27" s="59" t="b">
        <v>0</v>
      </c>
      <c r="Q27" s="59"/>
      <c r="R27" s="73" t="s">
        <v>63</v>
      </c>
      <c r="S27" s="61">
        <f>IF(M27,IF(P27,MIN('SE4X Production'!$E$32,1),S27),0)</f>
        <v>0</v>
      </c>
      <c r="T27" s="61">
        <f>IF(M27,IF(P27,MIN('SE4X Production'!$E$33,1),T27),0)</f>
        <v>0</v>
      </c>
      <c r="U27" s="61">
        <f>IF(M27,IF(P27,MIN('SE4X Production'!$E$34,3),U27),0)</f>
        <v>0</v>
      </c>
      <c r="V27" s="61">
        <f>IF(M27,IF(P27,MIN('SE4X Production'!$E$35,7),V27),1)</f>
        <v>1</v>
      </c>
      <c r="W27" s="41" t="s">
        <v>59</v>
      </c>
      <c r="X27" s="42">
        <f>IF(M27,IF(P27,MIN('SE4X Production'!$E$45,2),X27),1)</f>
        <v>1</v>
      </c>
    </row>
    <row r="28" spans="1:24" ht="13" x14ac:dyDescent="0.3">
      <c r="A28" s="59" t="b">
        <v>0</v>
      </c>
      <c r="D28" s="59" t="b">
        <v>0</v>
      </c>
      <c r="E28" s="59"/>
      <c r="F28" s="11" t="s">
        <v>117</v>
      </c>
      <c r="G28" s="61">
        <f>IF(A28,IF(D28,MIN('SE4X Production'!$E$32,2),G28),0)</f>
        <v>0</v>
      </c>
      <c r="H28" s="61">
        <f>IF(A28,IF(D28,MIN('SE4X Production'!$E$33,2),H28),0)</f>
        <v>0</v>
      </c>
      <c r="I28" s="61">
        <f>IF(A28,IF(D28,MIN('SE4X Production'!$E$34,3),I28),0)</f>
        <v>0</v>
      </c>
      <c r="J28" s="61">
        <f>IF(A28,IF(D28,MIN('SE4X Production'!$E$35,7),J28),1)</f>
        <v>1</v>
      </c>
      <c r="K28" s="43"/>
      <c r="L28" s="44"/>
      <c r="M28" s="59" t="b">
        <v>0</v>
      </c>
      <c r="P28" s="59" t="b">
        <v>0</v>
      </c>
      <c r="Q28" s="59"/>
      <c r="R28" s="73" t="s">
        <v>109</v>
      </c>
      <c r="S28" s="61">
        <f>IF(M28,IF(P28,MIN('SE4X Production'!$E$32,1),S28),0)</f>
        <v>0</v>
      </c>
      <c r="T28" s="61">
        <f>IF(M28,IF(P28,MIN('SE4X Production'!$E$33,1),T28),0)</f>
        <v>0</v>
      </c>
      <c r="U28" s="61">
        <f>IF(M28,IF(P28,MIN('SE4X Production'!$E$34,3),U28),0)</f>
        <v>0</v>
      </c>
      <c r="V28" s="61">
        <f>IF(M28,IF(P28,MIN('SE4X Production'!$E$35,7),V28),1)</f>
        <v>1</v>
      </c>
      <c r="W28" s="41" t="s">
        <v>59</v>
      </c>
      <c r="X28" s="42">
        <f>IF(M28,IF(P28,MIN('SE4X Production'!$E$45,2),X28),1)</f>
        <v>1</v>
      </c>
    </row>
    <row r="29" spans="1:24" ht="13" x14ac:dyDescent="0.3">
      <c r="A29" s="59" t="b">
        <v>0</v>
      </c>
      <c r="D29" s="59" t="b">
        <v>0</v>
      </c>
      <c r="E29" s="59"/>
      <c r="F29" s="47" t="s">
        <v>60</v>
      </c>
      <c r="G29" s="62">
        <f>IF(A29,IF(D29,MIN('SE4X Production'!$E$32,3),G29),0)</f>
        <v>0</v>
      </c>
      <c r="H29" s="62">
        <f>IF(A29,IF(D29,MIN('SE4X Production'!$E$33,3),H29),0)</f>
        <v>0</v>
      </c>
      <c r="I29" s="62">
        <f>IF(A29,IF(D29,MIN('SE4X Production'!$E$34,3),I29),0)</f>
        <v>0</v>
      </c>
      <c r="J29" s="62">
        <f>IF(A29,IF(D29,MIN('SE4X Production'!$E$35,7),J29),1)</f>
        <v>1</v>
      </c>
      <c r="K29" s="55"/>
      <c r="L29" s="56"/>
      <c r="M29" s="59" t="b">
        <v>0</v>
      </c>
      <c r="P29" s="59" t="b">
        <v>0</v>
      </c>
      <c r="Q29" s="59"/>
      <c r="R29" s="73" t="s">
        <v>110</v>
      </c>
      <c r="S29" s="61">
        <f>IF(M29,IF(P29,MIN('SE4X Production'!$E$32,1),S29),0)</f>
        <v>0</v>
      </c>
      <c r="T29" s="61">
        <f>IF(M29,IF(P29,MIN('SE4X Production'!$E$33,1),T29),0)</f>
        <v>0</v>
      </c>
      <c r="U29" s="61">
        <f>IF(M29,IF(P29,MIN('SE4X Production'!$E$34,3),U29),0)</f>
        <v>0</v>
      </c>
      <c r="V29" s="61">
        <f>IF(M29,IF(P29,MIN('SE4X Production'!$E$35,7),V29),1)</f>
        <v>1</v>
      </c>
      <c r="W29" s="41" t="s">
        <v>59</v>
      </c>
      <c r="X29" s="42">
        <f>IF(M29,IF(P29,MIN('SE4X Production'!$E$45,2),X29),1)</f>
        <v>1</v>
      </c>
    </row>
    <row r="30" spans="1:24" ht="13.5" thickBot="1" x14ac:dyDescent="0.35">
      <c r="A30" s="59" t="b">
        <v>0</v>
      </c>
      <c r="D30" s="59" t="b">
        <v>0</v>
      </c>
      <c r="E30" s="59"/>
      <c r="F30" s="47" t="s">
        <v>62</v>
      </c>
      <c r="G30" s="62">
        <f>IF(A30,IF(D30,MIN('SE4X Production'!$E$32,3),G30),0)</f>
        <v>0</v>
      </c>
      <c r="H30" s="62">
        <f>IF(A30,IF(D30,MIN('SE4X Production'!$E$33,3),H30),0)</f>
        <v>0</v>
      </c>
      <c r="I30" s="62">
        <f>IF(A30,IF(D30,MIN('SE4X Production'!$E$34,3),I30),0)</f>
        <v>0</v>
      </c>
      <c r="J30" s="62">
        <f>IF(A30,IF(D30,MIN('SE4X Production'!$E$35,7),J30),1)</f>
        <v>1</v>
      </c>
      <c r="K30" s="55"/>
      <c r="L30" s="56"/>
      <c r="M30" s="59" t="b">
        <v>0</v>
      </c>
      <c r="P30" s="59" t="b">
        <v>0</v>
      </c>
      <c r="Q30" s="59"/>
      <c r="R30" s="76" t="s">
        <v>111</v>
      </c>
      <c r="S30" s="64">
        <f>IF(M30,IF(P30,MIN('SE4X Production'!$E$32,1),S30),0)</f>
        <v>0</v>
      </c>
      <c r="T30" s="64">
        <f>IF(M30,IF(P30,MIN('SE4X Production'!$E$33,1),T30),0)</f>
        <v>0</v>
      </c>
      <c r="U30" s="64">
        <f>IF(M30,IF(P30,MIN('SE4X Production'!$E$34,3),U30),0)</f>
        <v>0</v>
      </c>
      <c r="V30" s="64">
        <f>IF(M30,IF(P30,MIN('SE4X Production'!$E$35,7),V30),1)</f>
        <v>1</v>
      </c>
      <c r="W30" s="77" t="s">
        <v>59</v>
      </c>
      <c r="X30" s="65">
        <f>IF(M30,IF(P30,MIN('SE4X Production'!$E$45,2),X30),1)</f>
        <v>1</v>
      </c>
    </row>
    <row r="31" spans="1:24" ht="13" x14ac:dyDescent="0.3">
      <c r="A31" s="59" t="b">
        <v>0</v>
      </c>
      <c r="D31" s="59" t="b">
        <v>0</v>
      </c>
      <c r="E31" s="59"/>
      <c r="F31" s="47" t="s">
        <v>64</v>
      </c>
      <c r="G31" s="62">
        <f>IF(A31,IF(D31,MIN('SE4X Production'!$E$32,3),G31),0)</f>
        <v>0</v>
      </c>
      <c r="H31" s="62">
        <f>IF(A31,IF(D31,MIN('SE4X Production'!$E$33,3),H31),0)</f>
        <v>0</v>
      </c>
      <c r="I31" s="62">
        <f>IF(A31,IF(D31,MIN('SE4X Production'!$E$34,3),I31),0)</f>
        <v>0</v>
      </c>
      <c r="J31" s="62">
        <f>IF(A31,IF(D31,MIN('SE4X Production'!$E$35,7),J31),1)</f>
        <v>1</v>
      </c>
      <c r="K31" s="55"/>
      <c r="L31" s="56"/>
    </row>
    <row r="32" spans="1:24" ht="12.9" customHeight="1" x14ac:dyDescent="0.3">
      <c r="A32" s="59" t="b">
        <v>0</v>
      </c>
      <c r="D32" s="59" t="b">
        <v>0</v>
      </c>
      <c r="E32" s="59"/>
      <c r="F32" s="47" t="s">
        <v>65</v>
      </c>
      <c r="G32" s="62">
        <f>IF(A32,IF(D32,MIN('SE4X Production'!$E$32,3),G32),0)</f>
        <v>0</v>
      </c>
      <c r="H32" s="62">
        <f>IF(A32,IF(D32,MIN('SE4X Production'!$E$33,3),H32),0)</f>
        <v>0</v>
      </c>
      <c r="I32" s="62">
        <f>IF(A32,IF(D32,MIN('SE4X Production'!$E$34,3),I32),0)</f>
        <v>0</v>
      </c>
      <c r="J32" s="62">
        <f>IF(A32,IF(D32,MIN('SE4X Production'!$E$35,7),J32),1)</f>
        <v>1</v>
      </c>
      <c r="K32" s="55"/>
      <c r="L32" s="56"/>
    </row>
    <row r="33" spans="1:24" ht="13" x14ac:dyDescent="0.3">
      <c r="A33" s="59" t="b">
        <v>0</v>
      </c>
      <c r="D33" s="59" t="b">
        <v>0</v>
      </c>
      <c r="E33" s="59"/>
      <c r="F33" s="47" t="s">
        <v>102</v>
      </c>
      <c r="G33" s="62">
        <f>IF(A33,IF(D33,MIN('SE4X Production'!$E$32,3),G33),0)</f>
        <v>0</v>
      </c>
      <c r="H33" s="62">
        <f>IF(A33,IF(D33,MIN('SE4X Production'!$E$33,3),H33),0)</f>
        <v>0</v>
      </c>
      <c r="I33" s="62">
        <f>IF(A33,IF(D33,MIN('SE4X Production'!$E$34,3),I33),0)</f>
        <v>0</v>
      </c>
      <c r="J33" s="62">
        <f>IF(A33,IF(D33,MIN('SE4X Production'!$E$35,7),J33),1)</f>
        <v>1</v>
      </c>
      <c r="K33" s="55"/>
      <c r="L33" s="56"/>
    </row>
    <row r="34" spans="1:24" ht="12.9" customHeight="1" x14ac:dyDescent="0.3">
      <c r="A34" s="59" t="b">
        <v>0</v>
      </c>
      <c r="D34" s="59" t="b">
        <v>0</v>
      </c>
      <c r="E34" s="59"/>
      <c r="F34" s="47" t="s">
        <v>103</v>
      </c>
      <c r="G34" s="62">
        <f>IF(A34,IF(D34,MIN('SE4X Production'!$E$32,3),G34),0)</f>
        <v>0</v>
      </c>
      <c r="H34" s="62">
        <f>IF(A34,IF(D34,MIN('SE4X Production'!$E$33,3),H34),0)</f>
        <v>0</v>
      </c>
      <c r="I34" s="62">
        <f>IF(A34,IF(D34,MIN('SE4X Production'!$E$34,3),I34),0)</f>
        <v>0</v>
      </c>
      <c r="J34" s="62">
        <f>IF(A34,IF(D34,MIN('SE4X Production'!$E$35,7),J34),1)</f>
        <v>1</v>
      </c>
      <c r="K34" s="55"/>
      <c r="L34" s="56"/>
    </row>
    <row r="35" spans="1:24" ht="13" x14ac:dyDescent="0.3">
      <c r="A35" s="59" t="b">
        <v>0</v>
      </c>
      <c r="D35" s="59" t="b">
        <v>0</v>
      </c>
      <c r="E35" s="59"/>
      <c r="F35" s="11" t="s">
        <v>66</v>
      </c>
      <c r="G35" s="61">
        <f>IF(A35,IF(D35,MIN('SE4X Production'!$E$32,3),G35),0)</f>
        <v>0</v>
      </c>
      <c r="H35" s="61">
        <f>IF(A35,IF(D35,MIN('SE4X Production'!$E$33,3),H35),0)</f>
        <v>0</v>
      </c>
      <c r="I35" s="61">
        <f>IF(A35,IF(D35,MIN('SE4X Production'!$E$34,3),I35),0)</f>
        <v>0</v>
      </c>
      <c r="J35" s="61">
        <f>IF(A35,IF(D35,MIN('SE4X Production'!$E$35,7),J35),1)</f>
        <v>1</v>
      </c>
      <c r="K35" s="43"/>
      <c r="L35" s="44"/>
    </row>
    <row r="36" spans="1:24" ht="13" x14ac:dyDescent="0.3">
      <c r="A36" s="59" t="b">
        <v>0</v>
      </c>
      <c r="D36" s="59" t="b">
        <v>0</v>
      </c>
      <c r="E36" s="59"/>
      <c r="F36" s="11" t="s">
        <v>67</v>
      </c>
      <c r="G36" s="61">
        <f>IF(A36,IF(D36,MIN('SE4X Production'!$E$32,3),G36),0)</f>
        <v>0</v>
      </c>
      <c r="H36" s="61">
        <f>IF(A36,IF(D36,MIN('SE4X Production'!$E$33,3),H36),0)</f>
        <v>0</v>
      </c>
      <c r="I36" s="61">
        <f>IF(A36,IF(D36,MIN('SE4X Production'!$E$34,3),I36),0)</f>
        <v>0</v>
      </c>
      <c r="J36" s="61">
        <f>IF(A36,IF(D36,MIN('SE4X Production'!$E$35,7),J36),1)</f>
        <v>1</v>
      </c>
      <c r="K36" s="43"/>
      <c r="L36" s="44"/>
    </row>
    <row r="37" spans="1:24" ht="13" x14ac:dyDescent="0.3">
      <c r="A37" s="59" t="b">
        <v>0</v>
      </c>
      <c r="D37" s="59" t="b">
        <v>0</v>
      </c>
      <c r="E37" s="59"/>
      <c r="F37" s="11" t="s">
        <v>104</v>
      </c>
      <c r="G37" s="61">
        <f>IF(A37,IF(D37,MIN('SE4X Production'!$E$32,3),G37),0)</f>
        <v>0</v>
      </c>
      <c r="H37" s="61">
        <f>IF(A37,IF(D37,MIN('SE4X Production'!$E$33,3),H37),0)</f>
        <v>0</v>
      </c>
      <c r="I37" s="61">
        <f>IF(A37,IF(D37,MIN('SE4X Production'!$E$34,3),I37),0)</f>
        <v>0</v>
      </c>
      <c r="J37" s="61">
        <f>IF(A37,IF(D37,MIN('SE4X Production'!$E$35,7),J37),1)</f>
        <v>1</v>
      </c>
      <c r="K37" s="43"/>
      <c r="L37" s="44"/>
    </row>
    <row r="38" spans="1:24" ht="13" x14ac:dyDescent="0.3">
      <c r="A38" s="59" t="b">
        <v>0</v>
      </c>
      <c r="D38" s="59" t="b">
        <v>0</v>
      </c>
      <c r="E38" s="59"/>
      <c r="F38" s="11" t="s">
        <v>105</v>
      </c>
      <c r="G38" s="61">
        <f>IF(A38,IF(D38,MIN('SE4X Production'!$E$32,3),G38),0)</f>
        <v>0</v>
      </c>
      <c r="H38" s="61">
        <f>IF(A38,IF(D38,MIN('SE4X Production'!$E$33,3),H38),0)</f>
        <v>0</v>
      </c>
      <c r="I38" s="61">
        <f>IF(A38,IF(D38,MIN('SE4X Production'!$E$34,3),I38),0)</f>
        <v>0</v>
      </c>
      <c r="J38" s="61">
        <f>IF(A38,IF(D38,MIN('SE4X Production'!$E$35,7),J38),1)</f>
        <v>1</v>
      </c>
      <c r="K38" s="43"/>
      <c r="L38" s="44"/>
    </row>
    <row r="39" spans="1:24" ht="13.5" thickBot="1" x14ac:dyDescent="0.35">
      <c r="A39" s="59" t="b">
        <v>0</v>
      </c>
      <c r="D39" s="59" t="b">
        <v>0</v>
      </c>
      <c r="E39" s="59"/>
      <c r="F39" s="12" t="s">
        <v>106</v>
      </c>
      <c r="G39" s="64">
        <f>IF(A39,IF(D39,MIN('SE4X Production'!$E$32,3),G39),0)</f>
        <v>0</v>
      </c>
      <c r="H39" s="64">
        <f>IF(A39,IF(D39,MIN('SE4X Production'!$E$33,3),H39),0)</f>
        <v>0</v>
      </c>
      <c r="I39" s="64">
        <f>IF(A39,IF(D39,MIN('SE4X Production'!$E$34,3),I39),0)</f>
        <v>0</v>
      </c>
      <c r="J39" s="64">
        <f>IF(A39,IF(D39,MIN('SE4X Production'!$E$35,7),J39),1)</f>
        <v>1</v>
      </c>
      <c r="K39" s="45"/>
      <c r="L39" s="46"/>
      <c r="R39" s="32"/>
      <c r="S39" s="57"/>
      <c r="T39" s="57"/>
      <c r="U39" s="57"/>
      <c r="V39" s="57"/>
      <c r="W39" s="58"/>
      <c r="X39" s="58"/>
    </row>
  </sheetData>
  <mergeCells count="4">
    <mergeCell ref="R1:X1"/>
    <mergeCell ref="W2:X2"/>
    <mergeCell ref="F1:L1"/>
    <mergeCell ref="K2:L2"/>
  </mergeCells>
  <conditionalFormatting sqref="F5">
    <cfRule type="expression" dxfId="64" priority="74">
      <formula>$A$5</formula>
    </cfRule>
  </conditionalFormatting>
  <conditionalFormatting sqref="F6">
    <cfRule type="expression" dxfId="63" priority="73">
      <formula>$A$6</formula>
    </cfRule>
  </conditionalFormatting>
  <conditionalFormatting sqref="F7">
    <cfRule type="expression" dxfId="62" priority="72">
      <formula>$A$7</formula>
    </cfRule>
  </conditionalFormatting>
  <conditionalFormatting sqref="F8">
    <cfRule type="expression" dxfId="61" priority="71">
      <formula>$A$8</formula>
    </cfRule>
  </conditionalFormatting>
  <conditionalFormatting sqref="F9">
    <cfRule type="expression" dxfId="60" priority="70">
      <formula>$A$9</formula>
    </cfRule>
  </conditionalFormatting>
  <conditionalFormatting sqref="F10">
    <cfRule type="expression" dxfId="59" priority="69">
      <formula>$A$10</formula>
    </cfRule>
  </conditionalFormatting>
  <conditionalFormatting sqref="F11">
    <cfRule type="expression" dxfId="58" priority="68">
      <formula>$A$11</formula>
    </cfRule>
  </conditionalFormatting>
  <conditionalFormatting sqref="F12">
    <cfRule type="expression" dxfId="57" priority="67">
      <formula>$A$12</formula>
    </cfRule>
  </conditionalFormatting>
  <conditionalFormatting sqref="F13">
    <cfRule type="expression" dxfId="56" priority="66">
      <formula>$A$13</formula>
    </cfRule>
  </conditionalFormatting>
  <conditionalFormatting sqref="F14">
    <cfRule type="expression" dxfId="55" priority="65">
      <formula>$A$14</formula>
    </cfRule>
  </conditionalFormatting>
  <conditionalFormatting sqref="F15">
    <cfRule type="expression" dxfId="54" priority="64">
      <formula>$A$15</formula>
    </cfRule>
  </conditionalFormatting>
  <conditionalFormatting sqref="F16">
    <cfRule type="expression" dxfId="53" priority="63">
      <formula>$A$16</formula>
    </cfRule>
  </conditionalFormatting>
  <conditionalFormatting sqref="F17">
    <cfRule type="expression" dxfId="52" priority="62">
      <formula>$A$17</formula>
    </cfRule>
  </conditionalFormatting>
  <conditionalFormatting sqref="F18">
    <cfRule type="expression" dxfId="51" priority="61">
      <formula>$A$18</formula>
    </cfRule>
  </conditionalFormatting>
  <conditionalFormatting sqref="F19">
    <cfRule type="expression" dxfId="50" priority="60">
      <formula>$A$19</formula>
    </cfRule>
  </conditionalFormatting>
  <conditionalFormatting sqref="F20">
    <cfRule type="expression" dxfId="49" priority="59">
      <formula>$A$20</formula>
    </cfRule>
  </conditionalFormatting>
  <conditionalFormatting sqref="F21">
    <cfRule type="expression" dxfId="48" priority="58">
      <formula>$A$21</formula>
    </cfRule>
  </conditionalFormatting>
  <conditionalFormatting sqref="F22">
    <cfRule type="expression" dxfId="47" priority="57">
      <formula>$A$22</formula>
    </cfRule>
  </conditionalFormatting>
  <conditionalFormatting sqref="F23">
    <cfRule type="expression" dxfId="46" priority="56">
      <formula>$A$23</formula>
    </cfRule>
  </conditionalFormatting>
  <conditionalFormatting sqref="F24">
    <cfRule type="expression" dxfId="45" priority="54">
      <formula>$A$24</formula>
    </cfRule>
  </conditionalFormatting>
  <conditionalFormatting sqref="F25">
    <cfRule type="expression" dxfId="44" priority="53">
      <formula>$A$25</formula>
    </cfRule>
  </conditionalFormatting>
  <conditionalFormatting sqref="F26">
    <cfRule type="expression" dxfId="43" priority="52">
      <formula>$A$26</formula>
    </cfRule>
  </conditionalFormatting>
  <conditionalFormatting sqref="F27">
    <cfRule type="expression" dxfId="42" priority="51">
      <formula>$A$27</formula>
    </cfRule>
  </conditionalFormatting>
  <conditionalFormatting sqref="F28">
    <cfRule type="expression" dxfId="41" priority="50">
      <formula>$A$28</formula>
    </cfRule>
  </conditionalFormatting>
  <conditionalFormatting sqref="F29">
    <cfRule type="expression" dxfId="40" priority="49">
      <formula>$A$29</formula>
    </cfRule>
  </conditionalFormatting>
  <conditionalFormatting sqref="F30">
    <cfRule type="expression" dxfId="39" priority="48">
      <formula>$A$30</formula>
    </cfRule>
  </conditionalFormatting>
  <conditionalFormatting sqref="F31">
    <cfRule type="expression" dxfId="38" priority="47">
      <formula>$A$31</formula>
    </cfRule>
  </conditionalFormatting>
  <conditionalFormatting sqref="F32">
    <cfRule type="expression" dxfId="37" priority="46">
      <formula>$A$32</formula>
    </cfRule>
  </conditionalFormatting>
  <conditionalFormatting sqref="F33">
    <cfRule type="expression" dxfId="36" priority="45">
      <formula>$A$33</formula>
    </cfRule>
  </conditionalFormatting>
  <conditionalFormatting sqref="F34">
    <cfRule type="expression" dxfId="35" priority="44">
      <formula>$A$34</formula>
    </cfRule>
  </conditionalFormatting>
  <conditionalFormatting sqref="F35">
    <cfRule type="expression" dxfId="34" priority="43">
      <formula>$A$35</formula>
    </cfRule>
  </conditionalFormatting>
  <conditionalFormatting sqref="F36">
    <cfRule type="expression" dxfId="33" priority="42">
      <formula>$A$36</formula>
    </cfRule>
  </conditionalFormatting>
  <conditionalFormatting sqref="F37">
    <cfRule type="expression" dxfId="32" priority="41">
      <formula>$A$37</formula>
    </cfRule>
  </conditionalFormatting>
  <conditionalFormatting sqref="F38">
    <cfRule type="expression" dxfId="31" priority="40">
      <formula>$A$38</formula>
    </cfRule>
  </conditionalFormatting>
  <conditionalFormatting sqref="F39">
    <cfRule type="expression" dxfId="30" priority="39">
      <formula>$A$39</formula>
    </cfRule>
  </conditionalFormatting>
  <conditionalFormatting sqref="R3">
    <cfRule type="expression" dxfId="25" priority="37">
      <formula>$M$3</formula>
    </cfRule>
  </conditionalFormatting>
  <conditionalFormatting sqref="R5">
    <cfRule type="expression" dxfId="24" priority="35">
      <formula>$M$5</formula>
    </cfRule>
  </conditionalFormatting>
  <conditionalFormatting sqref="R6">
    <cfRule type="expression" dxfId="23" priority="34">
      <formula>$M$6</formula>
    </cfRule>
  </conditionalFormatting>
  <conditionalFormatting sqref="R7">
    <cfRule type="expression" dxfId="22" priority="33">
      <formula>$M$7</formula>
    </cfRule>
  </conditionalFormatting>
  <conditionalFormatting sqref="R8">
    <cfRule type="expression" dxfId="21" priority="32">
      <formula>$M$8</formula>
    </cfRule>
  </conditionalFormatting>
  <conditionalFormatting sqref="R9">
    <cfRule type="expression" dxfId="20" priority="19">
      <formula>$M$9</formula>
    </cfRule>
  </conditionalFormatting>
  <conditionalFormatting sqref="R10">
    <cfRule type="expression" dxfId="19" priority="18">
      <formula>$M$10</formula>
    </cfRule>
  </conditionalFormatting>
  <conditionalFormatting sqref="R11">
    <cfRule type="expression" dxfId="18" priority="17">
      <formula>$M$11</formula>
    </cfRule>
  </conditionalFormatting>
  <conditionalFormatting sqref="R12">
    <cfRule type="expression" dxfId="17" priority="16">
      <formula>$M$12</formula>
    </cfRule>
  </conditionalFormatting>
  <conditionalFormatting sqref="R13">
    <cfRule type="expression" dxfId="16" priority="15">
      <formula>$M$13</formula>
    </cfRule>
  </conditionalFormatting>
  <conditionalFormatting sqref="R14">
    <cfRule type="expression" dxfId="15" priority="14">
      <formula>$M$14</formula>
    </cfRule>
  </conditionalFormatting>
  <conditionalFormatting sqref="R15">
    <cfRule type="expression" dxfId="14" priority="13">
      <formula>$M$15</formula>
    </cfRule>
  </conditionalFormatting>
  <conditionalFormatting sqref="R16">
    <cfRule type="expression" dxfId="13" priority="12">
      <formula>$M$16</formula>
    </cfRule>
  </conditionalFormatting>
  <conditionalFormatting sqref="R18">
    <cfRule type="expression" dxfId="12" priority="11">
      <formula>$M$18</formula>
    </cfRule>
  </conditionalFormatting>
  <conditionalFormatting sqref="R19">
    <cfRule type="expression" dxfId="11" priority="31">
      <formula>$M$19</formula>
    </cfRule>
  </conditionalFormatting>
  <conditionalFormatting sqref="R20">
    <cfRule type="expression" dxfId="10" priority="30">
      <formula>$M$20</formula>
    </cfRule>
  </conditionalFormatting>
  <conditionalFormatting sqref="R21">
    <cfRule type="expression" dxfId="9" priority="29">
      <formula>$M$21</formula>
    </cfRule>
  </conditionalFormatting>
  <conditionalFormatting sqref="R22">
    <cfRule type="expression" dxfId="8" priority="28">
      <formula>$M$22</formula>
    </cfRule>
  </conditionalFormatting>
  <conditionalFormatting sqref="R23">
    <cfRule type="expression" dxfId="7" priority="27">
      <formula>$M$23</formula>
    </cfRule>
  </conditionalFormatting>
  <conditionalFormatting sqref="R24">
    <cfRule type="expression" dxfId="6" priority="26">
      <formula>$M$24</formula>
    </cfRule>
  </conditionalFormatting>
  <conditionalFormatting sqref="R25">
    <cfRule type="expression" dxfId="5" priority="25">
      <formula>$M$25</formula>
    </cfRule>
  </conditionalFormatting>
  <conditionalFormatting sqref="R26">
    <cfRule type="expression" dxfId="4" priority="24">
      <formula>$M$26</formula>
    </cfRule>
  </conditionalFormatting>
  <conditionalFormatting sqref="R27">
    <cfRule type="expression" dxfId="3" priority="23">
      <formula>$M$27</formula>
    </cfRule>
  </conditionalFormatting>
  <conditionalFormatting sqref="R28">
    <cfRule type="expression" dxfId="2" priority="22">
      <formula>$M$28</formula>
    </cfRule>
  </conditionalFormatting>
  <conditionalFormatting sqref="R29">
    <cfRule type="expression" dxfId="1" priority="21">
      <formula>$M$29</formula>
    </cfRule>
  </conditionalFormatting>
  <conditionalFormatting sqref="R30">
    <cfRule type="expression" dxfId="0" priority="20">
      <formula>$M$30</formula>
    </cfRule>
  </conditionalFormatting>
  <printOptions horizontalCentered="1" verticalCentered="1"/>
  <pageMargins left="0.78749999999999998" right="0.78749999999999998" top="0.78749999999999998" bottom="0.78749999999999998" header="0.51180555555555551" footer="0.51180555555555551"/>
  <pageSetup firstPageNumber="0" orientation="landscape" horizontalDpi="300" verticalDpi="300"/>
  <headerFooter alignWithMargins="0"/>
  <ignoredErrors>
    <ignoredError sqref="G5:J39 L5:L22 X25:X30 S9:U18 X5:X18 S3:V3 S5:V8 S19:V30 X3 S4:X4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" r:id="rId3" name="Check Box 54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5</xdr:col>
                    <xdr:colOff>254000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" name="Check Box 62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0</xdr:rowOff>
                  </from>
                  <to>
                    <xdr:col>5</xdr:col>
                    <xdr:colOff>101600</xdr:colOff>
                    <xdr:row>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" name="Check Box 70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133350</xdr:rowOff>
                  </from>
                  <to>
                    <xdr:col>5</xdr:col>
                    <xdr:colOff>254000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" name="Check Box 71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133350</xdr:rowOff>
                  </from>
                  <to>
                    <xdr:col>5</xdr:col>
                    <xdr:colOff>95250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" name="Check Box 72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133350</xdr:rowOff>
                  </from>
                  <to>
                    <xdr:col>5</xdr:col>
                    <xdr:colOff>254000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" name="Check Box 73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133350</xdr:rowOff>
                  </from>
                  <to>
                    <xdr:col>5</xdr:col>
                    <xdr:colOff>88900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9" name="Check Box 74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133350</xdr:rowOff>
                  </from>
                  <to>
                    <xdr:col>5</xdr:col>
                    <xdr:colOff>254000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" name="Check Box 75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133350</xdr:rowOff>
                  </from>
                  <to>
                    <xdr:col>5</xdr:col>
                    <xdr:colOff>88900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1" name="Check Box 76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133350</xdr:rowOff>
                  </from>
                  <to>
                    <xdr:col>5</xdr:col>
                    <xdr:colOff>254000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2" name="Check Box 77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133350</xdr:rowOff>
                  </from>
                  <to>
                    <xdr:col>5</xdr:col>
                    <xdr:colOff>95250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3" name="Check Box 78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133350</xdr:rowOff>
                  </from>
                  <to>
                    <xdr:col>5</xdr:col>
                    <xdr:colOff>254000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4" name="Check Box 79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133350</xdr:rowOff>
                  </from>
                  <to>
                    <xdr:col>5</xdr:col>
                    <xdr:colOff>88900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5" name="Check Box 84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139700</xdr:rowOff>
                  </from>
                  <to>
                    <xdr:col>5</xdr:col>
                    <xdr:colOff>254000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6" name="Check Box 85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146050</xdr:rowOff>
                  </from>
                  <to>
                    <xdr:col>5</xdr:col>
                    <xdr:colOff>101600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7" name="Check Box 86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133350</xdr:rowOff>
                  </from>
                  <to>
                    <xdr:col>5</xdr:col>
                    <xdr:colOff>254000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8" name="Check Box 8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133350</xdr:rowOff>
                  </from>
                  <to>
                    <xdr:col>5</xdr:col>
                    <xdr:colOff>95250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9" name="Check Box 8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133350</xdr:rowOff>
                  </from>
                  <to>
                    <xdr:col>5</xdr:col>
                    <xdr:colOff>254000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0" name="Check Box 89">
              <controlPr defaultSize="0" autoFill="0" autoLine="0" autoPict="0">
                <anchor moveWithCells="1">
                  <from>
                    <xdr:col>2</xdr:col>
                    <xdr:colOff>0</xdr:colOff>
                    <xdr:row>11</xdr:row>
                    <xdr:rowOff>133350</xdr:rowOff>
                  </from>
                  <to>
                    <xdr:col>5</xdr:col>
                    <xdr:colOff>88900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1" name="Check Box 90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133350</xdr:rowOff>
                  </from>
                  <to>
                    <xdr:col>5</xdr:col>
                    <xdr:colOff>254000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2" name="Check Box 91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133350</xdr:rowOff>
                  </from>
                  <to>
                    <xdr:col>5</xdr:col>
                    <xdr:colOff>88900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3" name="Check Box 92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133350</xdr:rowOff>
                  </from>
                  <to>
                    <xdr:col>5</xdr:col>
                    <xdr:colOff>254000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4" name="Check Box 93">
              <controlPr defaultSize="0" autoFill="0" autoLine="0" autoPict="0">
                <anchor moveWithCells="1">
                  <from>
                    <xdr:col>2</xdr:col>
                    <xdr:colOff>0</xdr:colOff>
                    <xdr:row>13</xdr:row>
                    <xdr:rowOff>133350</xdr:rowOff>
                  </from>
                  <to>
                    <xdr:col>5</xdr:col>
                    <xdr:colOff>95250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5" name="Check Box 94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133350</xdr:rowOff>
                  </from>
                  <to>
                    <xdr:col>5</xdr:col>
                    <xdr:colOff>254000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6" name="Check Box 95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133350</xdr:rowOff>
                  </from>
                  <to>
                    <xdr:col>5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7" name="Check Box 96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139700</xdr:rowOff>
                  </from>
                  <to>
                    <xdr:col>5</xdr:col>
                    <xdr:colOff>254000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8" name="Check Box 97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146050</xdr:rowOff>
                  </from>
                  <to>
                    <xdr:col>5</xdr:col>
                    <xdr:colOff>101600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9" name="Check Box 98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133350</xdr:rowOff>
                  </from>
                  <to>
                    <xdr:col>5</xdr:col>
                    <xdr:colOff>254000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0" name="Check Box 99">
              <controlPr defaultSize="0" autoFill="0" autoLine="0" autoPict="0">
                <anchor moveWithCells="1">
                  <from>
                    <xdr:col>2</xdr:col>
                    <xdr:colOff>0</xdr:colOff>
                    <xdr:row>16</xdr:row>
                    <xdr:rowOff>133350</xdr:rowOff>
                  </from>
                  <to>
                    <xdr:col>5</xdr:col>
                    <xdr:colOff>95250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1" name="Check Box 100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133350</xdr:rowOff>
                  </from>
                  <to>
                    <xdr:col>5</xdr:col>
                    <xdr:colOff>254000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2" name="Check Box 101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133350</xdr:rowOff>
                  </from>
                  <to>
                    <xdr:col>5</xdr:col>
                    <xdr:colOff>88900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3" name="Check Box 102">
              <controlPr defaultSize="0" autoFill="0" autoLine="0" autoPict="0">
                <anchor moveWithCells="1">
                  <from>
                    <xdr:col>1</xdr:col>
                    <xdr:colOff>0</xdr:colOff>
                    <xdr:row>18</xdr:row>
                    <xdr:rowOff>133350</xdr:rowOff>
                  </from>
                  <to>
                    <xdr:col>5</xdr:col>
                    <xdr:colOff>254000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4" name="Check Box 103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133350</xdr:rowOff>
                  </from>
                  <to>
                    <xdr:col>5</xdr:col>
                    <xdr:colOff>88900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104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133350</xdr:rowOff>
                  </from>
                  <to>
                    <xdr:col>5</xdr:col>
                    <xdr:colOff>254000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105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133350</xdr:rowOff>
                  </from>
                  <to>
                    <xdr:col>5</xdr:col>
                    <xdr:colOff>95250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106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133350</xdr:rowOff>
                  </from>
                  <to>
                    <xdr:col>5</xdr:col>
                    <xdr:colOff>254000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133350</xdr:rowOff>
                  </from>
                  <to>
                    <xdr:col>5</xdr:col>
                    <xdr:colOff>88900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9" name="Check Box 108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139700</xdr:rowOff>
                  </from>
                  <to>
                    <xdr:col>5</xdr:col>
                    <xdr:colOff>254000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0" name="Check Box 109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146050</xdr:rowOff>
                  </from>
                  <to>
                    <xdr:col>5</xdr:col>
                    <xdr:colOff>101600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1" name="Check Box 110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133350</xdr:rowOff>
                  </from>
                  <to>
                    <xdr:col>5</xdr:col>
                    <xdr:colOff>254000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2" name="Check Box 111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133350</xdr:rowOff>
                  </from>
                  <to>
                    <xdr:col>5</xdr:col>
                    <xdr:colOff>95250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3" name="Check Box 112">
              <controlPr defaultSize="0" autoFill="0" autoLine="0" autoPict="0">
                <anchor moveWithCells="1">
                  <from>
                    <xdr:col>1</xdr:col>
                    <xdr:colOff>0</xdr:colOff>
                    <xdr:row>23</xdr:row>
                    <xdr:rowOff>133350</xdr:rowOff>
                  </from>
                  <to>
                    <xdr:col>5</xdr:col>
                    <xdr:colOff>254000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4" name="Check Box 113">
              <controlPr defaultSize="0" autoFill="0" autoLine="0" autoPict="0">
                <anchor moveWithCells="1">
                  <from>
                    <xdr:col>2</xdr:col>
                    <xdr:colOff>0</xdr:colOff>
                    <xdr:row>23</xdr:row>
                    <xdr:rowOff>133350</xdr:rowOff>
                  </from>
                  <to>
                    <xdr:col>5</xdr:col>
                    <xdr:colOff>88900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5" name="Check Box 114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133350</xdr:rowOff>
                  </from>
                  <to>
                    <xdr:col>5</xdr:col>
                    <xdr:colOff>254000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6" name="Check Box 115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133350</xdr:rowOff>
                  </from>
                  <to>
                    <xdr:col>5</xdr:col>
                    <xdr:colOff>88900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7" name="Check Box 116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133350</xdr:rowOff>
                  </from>
                  <to>
                    <xdr:col>5</xdr:col>
                    <xdr:colOff>254000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8" name="Check Box 117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133350</xdr:rowOff>
                  </from>
                  <to>
                    <xdr:col>5</xdr:col>
                    <xdr:colOff>95250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9" name="Check Box 118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133350</xdr:rowOff>
                  </from>
                  <to>
                    <xdr:col>5</xdr:col>
                    <xdr:colOff>254000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0" name="Check Box 119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133350</xdr:rowOff>
                  </from>
                  <to>
                    <xdr:col>5</xdr:col>
                    <xdr:colOff>88900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1" name="Check Box 120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139700</xdr:rowOff>
                  </from>
                  <to>
                    <xdr:col>5</xdr:col>
                    <xdr:colOff>254000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2" name="Check Box 121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146050</xdr:rowOff>
                  </from>
                  <to>
                    <xdr:col>5</xdr:col>
                    <xdr:colOff>101600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3" name="Check Box 122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133350</xdr:rowOff>
                  </from>
                  <to>
                    <xdr:col>5</xdr:col>
                    <xdr:colOff>254000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4" name="Check Box 123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133350</xdr:rowOff>
                  </from>
                  <to>
                    <xdr:col>5</xdr:col>
                    <xdr:colOff>95250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5" name="Check Box 124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133350</xdr:rowOff>
                  </from>
                  <to>
                    <xdr:col>5</xdr:col>
                    <xdr:colOff>254000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6" name="Check Box 125">
              <controlPr defaultSize="0" autoFill="0" autoLine="0" autoPict="0">
                <anchor moveWithCells="1">
                  <from>
                    <xdr:col>2</xdr:col>
                    <xdr:colOff>0</xdr:colOff>
                    <xdr:row>29</xdr:row>
                    <xdr:rowOff>133350</xdr:rowOff>
                  </from>
                  <to>
                    <xdr:col>5</xdr:col>
                    <xdr:colOff>88900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7" name="Check Box 126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133350</xdr:rowOff>
                  </from>
                  <to>
                    <xdr:col>5</xdr:col>
                    <xdr:colOff>254000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8" name="Check Box 127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133350</xdr:rowOff>
                  </from>
                  <to>
                    <xdr:col>5</xdr:col>
                    <xdr:colOff>88900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9" name="Check Box 128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133350</xdr:rowOff>
                  </from>
                  <to>
                    <xdr:col>5</xdr:col>
                    <xdr:colOff>254000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0" name="Check Box 129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133350</xdr:rowOff>
                  </from>
                  <to>
                    <xdr:col>5</xdr:col>
                    <xdr:colOff>95250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1" name="Check Box 130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133350</xdr:rowOff>
                  </from>
                  <to>
                    <xdr:col>5</xdr:col>
                    <xdr:colOff>254000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2" name="Check Box 131">
              <controlPr defaultSize="0" autoFill="0" autoLine="0" autoPict="0">
                <anchor moveWithCells="1">
                  <from>
                    <xdr:col>2</xdr:col>
                    <xdr:colOff>0</xdr:colOff>
                    <xdr:row>32</xdr:row>
                    <xdr:rowOff>133350</xdr:rowOff>
                  </from>
                  <to>
                    <xdr:col>5</xdr:col>
                    <xdr:colOff>88900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3" name="Check Box 132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139700</xdr:rowOff>
                  </from>
                  <to>
                    <xdr:col>5</xdr:col>
                    <xdr:colOff>254000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4" name="Check Box 133">
              <controlPr defaultSize="0" autoFill="0" autoLine="0" autoPict="0">
                <anchor moveWithCells="1">
                  <from>
                    <xdr:col>2</xdr:col>
                    <xdr:colOff>0</xdr:colOff>
                    <xdr:row>33</xdr:row>
                    <xdr:rowOff>146050</xdr:rowOff>
                  </from>
                  <to>
                    <xdr:col>5</xdr:col>
                    <xdr:colOff>101600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5" name="Check Box 134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133350</xdr:rowOff>
                  </from>
                  <to>
                    <xdr:col>5</xdr:col>
                    <xdr:colOff>254000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6" name="Check Box 135">
              <controlPr defaultSize="0" autoFill="0" autoLine="0" autoPict="0">
                <anchor moveWithCells="1">
                  <from>
                    <xdr:col>2</xdr:col>
                    <xdr:colOff>0</xdr:colOff>
                    <xdr:row>34</xdr:row>
                    <xdr:rowOff>133350</xdr:rowOff>
                  </from>
                  <to>
                    <xdr:col>5</xdr:col>
                    <xdr:colOff>95250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7" name="Check Box 136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133350</xdr:rowOff>
                  </from>
                  <to>
                    <xdr:col>5</xdr:col>
                    <xdr:colOff>254000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8" name="Check Box 137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133350</xdr:rowOff>
                  </from>
                  <to>
                    <xdr:col>5</xdr:col>
                    <xdr:colOff>88900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9" name="Check Box 138">
              <controlPr defaultSize="0" autoFill="0" autoLine="0" autoPict="0">
                <anchor moveWithCells="1">
                  <from>
                    <xdr:col>1</xdr:col>
                    <xdr:colOff>0</xdr:colOff>
                    <xdr:row>36</xdr:row>
                    <xdr:rowOff>133350</xdr:rowOff>
                  </from>
                  <to>
                    <xdr:col>5</xdr:col>
                    <xdr:colOff>254000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0" name="Check Box 139">
              <controlPr defaultSize="0" autoFill="0" autoLine="0" autoPict="0">
                <anchor moveWithCells="1">
                  <from>
                    <xdr:col>2</xdr:col>
                    <xdr:colOff>0</xdr:colOff>
                    <xdr:row>36</xdr:row>
                    <xdr:rowOff>133350</xdr:rowOff>
                  </from>
                  <to>
                    <xdr:col>5</xdr:col>
                    <xdr:colOff>88900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1" name="Check Box 140">
              <controlPr defaultSize="0" autoFill="0" autoLine="0" autoPict="0">
                <anchor moveWithCells="1">
                  <from>
                    <xdr:col>1</xdr:col>
                    <xdr:colOff>0</xdr:colOff>
                    <xdr:row>37</xdr:row>
                    <xdr:rowOff>133350</xdr:rowOff>
                  </from>
                  <to>
                    <xdr:col>5</xdr:col>
                    <xdr:colOff>254000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2" name="Check Box 141">
              <controlPr defaultSize="0" autoFill="0" autoLine="0" autoPict="0">
                <anchor moveWithCells="1">
                  <from>
                    <xdr:col>2</xdr:col>
                    <xdr:colOff>0</xdr:colOff>
                    <xdr:row>37</xdr:row>
                    <xdr:rowOff>133350</xdr:rowOff>
                  </from>
                  <to>
                    <xdr:col>5</xdr:col>
                    <xdr:colOff>95250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3" name="Check Box 146">
              <controlPr defaultSize="0" autoFill="0" autoLine="0" autoPict="0">
                <anchor moveWithCells="1">
                  <from>
                    <xdr:col>13</xdr:col>
                    <xdr:colOff>0</xdr:colOff>
                    <xdr:row>1</xdr:row>
                    <xdr:rowOff>146050</xdr:rowOff>
                  </from>
                  <to>
                    <xdr:col>17</xdr:col>
                    <xdr:colOff>254000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4" name="Check Box 147">
              <controlPr defaultSize="0" autoFill="0" autoLine="0" autoPict="0">
                <anchor moveWithCells="1">
                  <from>
                    <xdr:col>14</xdr:col>
                    <xdr:colOff>0</xdr:colOff>
                    <xdr:row>1</xdr:row>
                    <xdr:rowOff>146050</xdr:rowOff>
                  </from>
                  <to>
                    <xdr:col>17</xdr:col>
                    <xdr:colOff>101600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5" name="Check Box 148">
              <controlPr defaultSize="0" autoFill="0" autoLine="0" autoPict="0">
                <anchor moveWithCells="1">
                  <from>
                    <xdr:col>13</xdr:col>
                    <xdr:colOff>0</xdr:colOff>
                    <xdr:row>2</xdr:row>
                    <xdr:rowOff>133350</xdr:rowOff>
                  </from>
                  <to>
                    <xdr:col>17</xdr:col>
                    <xdr:colOff>254000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6" name="Check Box 149">
              <controlPr defaultSize="0" autoFill="0" autoLine="0" autoPict="0">
                <anchor moveWithCells="1">
                  <from>
                    <xdr:col>14</xdr:col>
                    <xdr:colOff>0</xdr:colOff>
                    <xdr:row>2</xdr:row>
                    <xdr:rowOff>133350</xdr:rowOff>
                  </from>
                  <to>
                    <xdr:col>17</xdr:col>
                    <xdr:colOff>95250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7" name="Check Box 150">
              <controlPr defaultSize="0" autoFill="0" autoLine="0" autoPict="0">
                <anchor moveWithCells="1">
                  <from>
                    <xdr:col>13</xdr:col>
                    <xdr:colOff>0</xdr:colOff>
                    <xdr:row>3</xdr:row>
                    <xdr:rowOff>133350</xdr:rowOff>
                  </from>
                  <to>
                    <xdr:col>17</xdr:col>
                    <xdr:colOff>260350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78" name="Check Box 151">
              <controlPr defaultSize="0" autoFill="0" autoLine="0" autoPict="0">
                <anchor moveWithCells="1">
                  <from>
                    <xdr:col>14</xdr:col>
                    <xdr:colOff>0</xdr:colOff>
                    <xdr:row>3</xdr:row>
                    <xdr:rowOff>133350</xdr:rowOff>
                  </from>
                  <to>
                    <xdr:col>17</xdr:col>
                    <xdr:colOff>88900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79" name="Check Box 152">
              <controlPr defaultSize="0" autoFill="0" autoLine="0" autoPict="0">
                <anchor moveWithCells="1">
                  <from>
                    <xdr:col>13</xdr:col>
                    <xdr:colOff>0</xdr:colOff>
                    <xdr:row>4</xdr:row>
                    <xdr:rowOff>133350</xdr:rowOff>
                  </from>
                  <to>
                    <xdr:col>17</xdr:col>
                    <xdr:colOff>254000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0" name="Check Box 153">
              <controlPr defaultSize="0" autoFill="0" autoLine="0" autoPict="0">
                <anchor moveWithCells="1">
                  <from>
                    <xdr:col>14</xdr:col>
                    <xdr:colOff>0</xdr:colOff>
                    <xdr:row>4</xdr:row>
                    <xdr:rowOff>133350</xdr:rowOff>
                  </from>
                  <to>
                    <xdr:col>17</xdr:col>
                    <xdr:colOff>88900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1" name="Check Box 154">
              <controlPr defaultSize="0" autoFill="0" autoLine="0" autoPict="0">
                <anchor moveWithCells="1">
                  <from>
                    <xdr:col>13</xdr:col>
                    <xdr:colOff>0</xdr:colOff>
                    <xdr:row>5</xdr:row>
                    <xdr:rowOff>133350</xdr:rowOff>
                  </from>
                  <to>
                    <xdr:col>17</xdr:col>
                    <xdr:colOff>254000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2" name="Check Box 155">
              <controlPr defaultSize="0" autoFill="0" autoLine="0" autoPict="0">
                <anchor moveWithCells="1">
                  <from>
                    <xdr:col>14</xdr:col>
                    <xdr:colOff>0</xdr:colOff>
                    <xdr:row>5</xdr:row>
                    <xdr:rowOff>133350</xdr:rowOff>
                  </from>
                  <to>
                    <xdr:col>17</xdr:col>
                    <xdr:colOff>95250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3" name="Check Box 156">
              <controlPr defaultSize="0" autoFill="0" autoLine="0" autoPict="0">
                <anchor moveWithCells="1">
                  <from>
                    <xdr:col>13</xdr:col>
                    <xdr:colOff>0</xdr:colOff>
                    <xdr:row>6</xdr:row>
                    <xdr:rowOff>133350</xdr:rowOff>
                  </from>
                  <to>
                    <xdr:col>17</xdr:col>
                    <xdr:colOff>254000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4" name="Check Box 157">
              <controlPr defaultSize="0" autoFill="0" autoLine="0" autoPict="0">
                <anchor moveWithCells="1">
                  <from>
                    <xdr:col>14</xdr:col>
                    <xdr:colOff>0</xdr:colOff>
                    <xdr:row>6</xdr:row>
                    <xdr:rowOff>133350</xdr:rowOff>
                  </from>
                  <to>
                    <xdr:col>17</xdr:col>
                    <xdr:colOff>88900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5" name="Check Box 158">
              <controlPr defaultSize="0" autoFill="0" autoLine="0" autoPict="0">
                <anchor moveWithCells="1">
                  <from>
                    <xdr:col>13</xdr:col>
                    <xdr:colOff>0</xdr:colOff>
                    <xdr:row>17</xdr:row>
                    <xdr:rowOff>139700</xdr:rowOff>
                  </from>
                  <to>
                    <xdr:col>17</xdr:col>
                    <xdr:colOff>254000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86" name="Check Box 159">
              <controlPr defaultSize="0" autoFill="0" autoLine="0" autoPict="0">
                <anchor moveWithCells="1">
                  <from>
                    <xdr:col>14</xdr:col>
                    <xdr:colOff>0</xdr:colOff>
                    <xdr:row>17</xdr:row>
                    <xdr:rowOff>146050</xdr:rowOff>
                  </from>
                  <to>
                    <xdr:col>17</xdr:col>
                    <xdr:colOff>101600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87" name="Check Box 160">
              <controlPr defaultSize="0" autoFill="0" autoLine="0" autoPict="0">
                <anchor moveWithCells="1">
                  <from>
                    <xdr:col>13</xdr:col>
                    <xdr:colOff>0</xdr:colOff>
                    <xdr:row>18</xdr:row>
                    <xdr:rowOff>133350</xdr:rowOff>
                  </from>
                  <to>
                    <xdr:col>17</xdr:col>
                    <xdr:colOff>254000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88" name="Check Box 161">
              <controlPr defaultSize="0" autoFill="0" autoLine="0" autoPict="0">
                <anchor moveWithCells="1">
                  <from>
                    <xdr:col>14</xdr:col>
                    <xdr:colOff>0</xdr:colOff>
                    <xdr:row>18</xdr:row>
                    <xdr:rowOff>133350</xdr:rowOff>
                  </from>
                  <to>
                    <xdr:col>17</xdr:col>
                    <xdr:colOff>95250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89" name="Check Box 162">
              <controlPr defaultSize="0" autoFill="0" autoLine="0" autoPict="0">
                <anchor moveWithCells="1">
                  <from>
                    <xdr:col>13</xdr:col>
                    <xdr:colOff>0</xdr:colOff>
                    <xdr:row>19</xdr:row>
                    <xdr:rowOff>133350</xdr:rowOff>
                  </from>
                  <to>
                    <xdr:col>17</xdr:col>
                    <xdr:colOff>254000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0" name="Check Box 163">
              <controlPr defaultSize="0" autoFill="0" autoLine="0" autoPict="0">
                <anchor moveWithCells="1">
                  <from>
                    <xdr:col>14</xdr:col>
                    <xdr:colOff>0</xdr:colOff>
                    <xdr:row>19</xdr:row>
                    <xdr:rowOff>133350</xdr:rowOff>
                  </from>
                  <to>
                    <xdr:col>17</xdr:col>
                    <xdr:colOff>88900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1" name="Check Box 164">
              <controlPr defaultSize="0" autoFill="0" autoLine="0" autoPict="0">
                <anchor moveWithCells="1">
                  <from>
                    <xdr:col>13</xdr:col>
                    <xdr:colOff>0</xdr:colOff>
                    <xdr:row>20</xdr:row>
                    <xdr:rowOff>133350</xdr:rowOff>
                  </from>
                  <to>
                    <xdr:col>17</xdr:col>
                    <xdr:colOff>254000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2" name="Check Box 165">
              <controlPr defaultSize="0" autoFill="0" autoLine="0" autoPict="0">
                <anchor moveWithCells="1">
                  <from>
                    <xdr:col>14</xdr:col>
                    <xdr:colOff>0</xdr:colOff>
                    <xdr:row>20</xdr:row>
                    <xdr:rowOff>133350</xdr:rowOff>
                  </from>
                  <to>
                    <xdr:col>17</xdr:col>
                    <xdr:colOff>88900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3" name="Check Box 166">
              <controlPr defaultSize="0" autoFill="0" autoLine="0" autoPict="0">
                <anchor moveWithCells="1">
                  <from>
                    <xdr:col>13</xdr:col>
                    <xdr:colOff>0</xdr:colOff>
                    <xdr:row>21</xdr:row>
                    <xdr:rowOff>133350</xdr:rowOff>
                  </from>
                  <to>
                    <xdr:col>17</xdr:col>
                    <xdr:colOff>254000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4" name="Check Box 167">
              <controlPr defaultSize="0" autoFill="0" autoLine="0" autoPict="0">
                <anchor moveWithCells="1">
                  <from>
                    <xdr:col>14</xdr:col>
                    <xdr:colOff>0</xdr:colOff>
                    <xdr:row>21</xdr:row>
                    <xdr:rowOff>133350</xdr:rowOff>
                  </from>
                  <to>
                    <xdr:col>17</xdr:col>
                    <xdr:colOff>95250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5" name="Check Box 168">
              <controlPr defaultSize="0" autoFill="0" autoLine="0" autoPict="0">
                <anchor moveWithCells="1">
                  <from>
                    <xdr:col>13</xdr:col>
                    <xdr:colOff>0</xdr:colOff>
                    <xdr:row>22</xdr:row>
                    <xdr:rowOff>133350</xdr:rowOff>
                  </from>
                  <to>
                    <xdr:col>17</xdr:col>
                    <xdr:colOff>254000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6" name="Check Box 169">
              <controlPr defaultSize="0" autoFill="0" autoLine="0" autoPict="0">
                <anchor moveWithCells="1">
                  <from>
                    <xdr:col>14</xdr:col>
                    <xdr:colOff>0</xdr:colOff>
                    <xdr:row>22</xdr:row>
                    <xdr:rowOff>133350</xdr:rowOff>
                  </from>
                  <to>
                    <xdr:col>17</xdr:col>
                    <xdr:colOff>88900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7" name="Check Box 170">
              <controlPr defaultSize="0" autoFill="0" autoLine="0" autoPict="0">
                <anchor moveWithCells="1">
                  <from>
                    <xdr:col>13</xdr:col>
                    <xdr:colOff>0</xdr:colOff>
                    <xdr:row>23</xdr:row>
                    <xdr:rowOff>139700</xdr:rowOff>
                  </from>
                  <to>
                    <xdr:col>17</xdr:col>
                    <xdr:colOff>254000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98" name="Check Box 171">
              <controlPr defaultSize="0" autoFill="0" autoLine="0" autoPict="0">
                <anchor moveWithCells="1">
                  <from>
                    <xdr:col>14</xdr:col>
                    <xdr:colOff>0</xdr:colOff>
                    <xdr:row>23</xdr:row>
                    <xdr:rowOff>146050</xdr:rowOff>
                  </from>
                  <to>
                    <xdr:col>17</xdr:col>
                    <xdr:colOff>101600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99" name="Check Box 172">
              <controlPr defaultSize="0" autoFill="0" autoLine="0" autoPict="0">
                <anchor moveWithCells="1">
                  <from>
                    <xdr:col>13</xdr:col>
                    <xdr:colOff>0</xdr:colOff>
                    <xdr:row>24</xdr:row>
                    <xdr:rowOff>133350</xdr:rowOff>
                  </from>
                  <to>
                    <xdr:col>17</xdr:col>
                    <xdr:colOff>254000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0" name="Check Box 173">
              <controlPr defaultSize="0" autoFill="0" autoLine="0" autoPict="0">
                <anchor moveWithCells="1">
                  <from>
                    <xdr:col>14</xdr:col>
                    <xdr:colOff>0</xdr:colOff>
                    <xdr:row>24</xdr:row>
                    <xdr:rowOff>133350</xdr:rowOff>
                  </from>
                  <to>
                    <xdr:col>17</xdr:col>
                    <xdr:colOff>95250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1" name="Check Box 174">
              <controlPr defaultSize="0" autoFill="0" autoLine="0" autoPict="0">
                <anchor moveWithCells="1">
                  <from>
                    <xdr:col>13</xdr:col>
                    <xdr:colOff>0</xdr:colOff>
                    <xdr:row>25</xdr:row>
                    <xdr:rowOff>133350</xdr:rowOff>
                  </from>
                  <to>
                    <xdr:col>17</xdr:col>
                    <xdr:colOff>254000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2" name="Check Box 175">
              <controlPr defaultSize="0" autoFill="0" autoLine="0" autoPict="0">
                <anchor moveWithCells="1">
                  <from>
                    <xdr:col>14</xdr:col>
                    <xdr:colOff>0</xdr:colOff>
                    <xdr:row>25</xdr:row>
                    <xdr:rowOff>133350</xdr:rowOff>
                  </from>
                  <to>
                    <xdr:col>17</xdr:col>
                    <xdr:colOff>88900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3" name="Check Box 176">
              <controlPr defaultSize="0" autoFill="0" autoLine="0" autoPict="0">
                <anchor moveWithCells="1">
                  <from>
                    <xdr:col>13</xdr:col>
                    <xdr:colOff>0</xdr:colOff>
                    <xdr:row>26</xdr:row>
                    <xdr:rowOff>133350</xdr:rowOff>
                  </from>
                  <to>
                    <xdr:col>17</xdr:col>
                    <xdr:colOff>254000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4" name="Check Box 177">
              <controlPr defaultSize="0" autoFill="0" autoLine="0" autoPict="0">
                <anchor moveWithCells="1">
                  <from>
                    <xdr:col>14</xdr:col>
                    <xdr:colOff>0</xdr:colOff>
                    <xdr:row>26</xdr:row>
                    <xdr:rowOff>133350</xdr:rowOff>
                  </from>
                  <to>
                    <xdr:col>17</xdr:col>
                    <xdr:colOff>88900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5" name="Check Box 178">
              <controlPr defaultSize="0" autoFill="0" autoLine="0" autoPict="0">
                <anchor moveWithCells="1">
                  <from>
                    <xdr:col>13</xdr:col>
                    <xdr:colOff>0</xdr:colOff>
                    <xdr:row>27</xdr:row>
                    <xdr:rowOff>133350</xdr:rowOff>
                  </from>
                  <to>
                    <xdr:col>17</xdr:col>
                    <xdr:colOff>254000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6" name="Check Box 179">
              <controlPr defaultSize="0" autoFill="0" autoLine="0" autoPict="0">
                <anchor moveWithCells="1">
                  <from>
                    <xdr:col>14</xdr:col>
                    <xdr:colOff>0</xdr:colOff>
                    <xdr:row>27</xdr:row>
                    <xdr:rowOff>133350</xdr:rowOff>
                  </from>
                  <to>
                    <xdr:col>17</xdr:col>
                    <xdr:colOff>95250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7" name="Check Box 180">
              <controlPr defaultSize="0" autoFill="0" autoLine="0" autoPict="0">
                <anchor moveWithCells="1">
                  <from>
                    <xdr:col>13</xdr:col>
                    <xdr:colOff>0</xdr:colOff>
                    <xdr:row>28</xdr:row>
                    <xdr:rowOff>133350</xdr:rowOff>
                  </from>
                  <to>
                    <xdr:col>17</xdr:col>
                    <xdr:colOff>254000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08" name="Check Box 181">
              <controlPr defaultSize="0" autoFill="0" autoLine="0" autoPict="0">
                <anchor moveWithCells="1">
                  <from>
                    <xdr:col>14</xdr:col>
                    <xdr:colOff>0</xdr:colOff>
                    <xdr:row>28</xdr:row>
                    <xdr:rowOff>133350</xdr:rowOff>
                  </from>
                  <to>
                    <xdr:col>17</xdr:col>
                    <xdr:colOff>88900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09" name="Check Box 182">
              <controlPr defaultSize="0" autoFill="0" autoLine="0" autoPict="0">
                <anchor moveWithCells="1">
                  <from>
                    <xdr:col>13</xdr:col>
                    <xdr:colOff>0</xdr:colOff>
                    <xdr:row>7</xdr:row>
                    <xdr:rowOff>139700</xdr:rowOff>
                  </from>
                  <to>
                    <xdr:col>17</xdr:col>
                    <xdr:colOff>254000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0" name="Check Box 183">
              <controlPr defaultSize="0" autoFill="0" autoLine="0" autoPict="0">
                <anchor moveWithCells="1">
                  <from>
                    <xdr:col>14</xdr:col>
                    <xdr:colOff>0</xdr:colOff>
                    <xdr:row>7</xdr:row>
                    <xdr:rowOff>146050</xdr:rowOff>
                  </from>
                  <to>
                    <xdr:col>17</xdr:col>
                    <xdr:colOff>101600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1" name="Check Box 184">
              <controlPr defaultSize="0" autoFill="0" autoLine="0" autoPict="0">
                <anchor moveWithCells="1">
                  <from>
                    <xdr:col>13</xdr:col>
                    <xdr:colOff>0</xdr:colOff>
                    <xdr:row>8</xdr:row>
                    <xdr:rowOff>133350</xdr:rowOff>
                  </from>
                  <to>
                    <xdr:col>17</xdr:col>
                    <xdr:colOff>254000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2" name="Check Box 185">
              <controlPr defaultSize="0" autoFill="0" autoLine="0" autoPict="0">
                <anchor moveWithCells="1">
                  <from>
                    <xdr:col>14</xdr:col>
                    <xdr:colOff>0</xdr:colOff>
                    <xdr:row>8</xdr:row>
                    <xdr:rowOff>133350</xdr:rowOff>
                  </from>
                  <to>
                    <xdr:col>17</xdr:col>
                    <xdr:colOff>95250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3" name="Check Box 186">
              <controlPr defaultSize="0" autoFill="0" autoLine="0" autoPict="0">
                <anchor moveWithCells="1">
                  <from>
                    <xdr:col>13</xdr:col>
                    <xdr:colOff>0</xdr:colOff>
                    <xdr:row>9</xdr:row>
                    <xdr:rowOff>133350</xdr:rowOff>
                  </from>
                  <to>
                    <xdr:col>17</xdr:col>
                    <xdr:colOff>254000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4" name="Check Box 187">
              <controlPr defaultSize="0" autoFill="0" autoLine="0" autoPict="0">
                <anchor moveWithCells="1">
                  <from>
                    <xdr:col>14</xdr:col>
                    <xdr:colOff>0</xdr:colOff>
                    <xdr:row>9</xdr:row>
                    <xdr:rowOff>133350</xdr:rowOff>
                  </from>
                  <to>
                    <xdr:col>17</xdr:col>
                    <xdr:colOff>88900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5" name="Check Box 188">
              <controlPr defaultSize="0" autoFill="0" autoLine="0" autoPict="0">
                <anchor moveWithCells="1">
                  <from>
                    <xdr:col>13</xdr:col>
                    <xdr:colOff>0</xdr:colOff>
                    <xdr:row>10</xdr:row>
                    <xdr:rowOff>133350</xdr:rowOff>
                  </from>
                  <to>
                    <xdr:col>17</xdr:col>
                    <xdr:colOff>254000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6" name="Check Box 189">
              <controlPr defaultSize="0" autoFill="0" autoLine="0" autoPict="0">
                <anchor moveWithCells="1">
                  <from>
                    <xdr:col>14</xdr:col>
                    <xdr:colOff>0</xdr:colOff>
                    <xdr:row>10</xdr:row>
                    <xdr:rowOff>133350</xdr:rowOff>
                  </from>
                  <to>
                    <xdr:col>17</xdr:col>
                    <xdr:colOff>88900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7" name="Check Box 190">
              <controlPr defaultSize="0" autoFill="0" autoLine="0" autoPict="0">
                <anchor moveWithCells="1">
                  <from>
                    <xdr:col>13</xdr:col>
                    <xdr:colOff>0</xdr:colOff>
                    <xdr:row>11</xdr:row>
                    <xdr:rowOff>133350</xdr:rowOff>
                  </from>
                  <to>
                    <xdr:col>17</xdr:col>
                    <xdr:colOff>254000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18" name="Check Box 191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133350</xdr:rowOff>
                  </from>
                  <to>
                    <xdr:col>17</xdr:col>
                    <xdr:colOff>95250</xdr:colOff>
                    <xdr:row>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19" name="Check Box 192">
              <controlPr defaultSize="0" autoFill="0" autoLine="0" autoPict="0">
                <anchor moveWithCells="1">
                  <from>
                    <xdr:col>13</xdr:col>
                    <xdr:colOff>0</xdr:colOff>
                    <xdr:row>12</xdr:row>
                    <xdr:rowOff>133350</xdr:rowOff>
                  </from>
                  <to>
                    <xdr:col>17</xdr:col>
                    <xdr:colOff>254000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0" name="Check Box 193">
              <controlPr defaultSize="0" autoFill="0" autoLine="0" autoPict="0">
                <anchor moveWithCells="1">
                  <from>
                    <xdr:col>14</xdr:col>
                    <xdr:colOff>0</xdr:colOff>
                    <xdr:row>12</xdr:row>
                    <xdr:rowOff>133350</xdr:rowOff>
                  </from>
                  <to>
                    <xdr:col>17</xdr:col>
                    <xdr:colOff>88900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1" name="Check Box 194">
              <controlPr defaultSize="0" autoFill="0" autoLine="0" autoPict="0">
                <anchor moveWithCells="1">
                  <from>
                    <xdr:col>13</xdr:col>
                    <xdr:colOff>0</xdr:colOff>
                    <xdr:row>13</xdr:row>
                    <xdr:rowOff>133350</xdr:rowOff>
                  </from>
                  <to>
                    <xdr:col>17</xdr:col>
                    <xdr:colOff>254000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2" name="Check Box 195">
              <controlPr defaultSize="0" autoFill="0" autoLine="0" autoPict="0">
                <anchor moveWithCells="1">
                  <from>
                    <xdr:col>14</xdr:col>
                    <xdr:colOff>0</xdr:colOff>
                    <xdr:row>13</xdr:row>
                    <xdr:rowOff>133350</xdr:rowOff>
                  </from>
                  <to>
                    <xdr:col>17</xdr:col>
                    <xdr:colOff>88900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3" name="Check Box 196">
              <controlPr defaultSize="0" autoFill="0" autoLine="0" autoPict="0">
                <anchor moveWithCells="1">
                  <from>
                    <xdr:col>13</xdr:col>
                    <xdr:colOff>0</xdr:colOff>
                    <xdr:row>14</xdr:row>
                    <xdr:rowOff>133350</xdr:rowOff>
                  </from>
                  <to>
                    <xdr:col>17</xdr:col>
                    <xdr:colOff>254000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4" name="Check Box 197">
              <controlPr defaultSize="0" autoFill="0" autoLine="0" autoPict="0">
                <anchor moveWithCells="1">
                  <from>
                    <xdr:col>14</xdr:col>
                    <xdr:colOff>0</xdr:colOff>
                    <xdr:row>14</xdr:row>
                    <xdr:rowOff>133350</xdr:rowOff>
                  </from>
                  <to>
                    <xdr:col>17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5" name="Check Box 198">
              <controlPr defaultSize="0" autoFill="0" autoLine="0" autoPict="0">
                <anchor moveWithCells="1">
                  <from>
                    <xdr:col>13</xdr:col>
                    <xdr:colOff>0</xdr:colOff>
                    <xdr:row>15</xdr:row>
                    <xdr:rowOff>133350</xdr:rowOff>
                  </from>
                  <to>
                    <xdr:col>17</xdr:col>
                    <xdr:colOff>254000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6" name="Check Box 199">
              <controlPr defaultSize="0" autoFill="0" autoLine="0" autoPict="0">
                <anchor moveWithCells="1">
                  <from>
                    <xdr:col>14</xdr:col>
                    <xdr:colOff>0</xdr:colOff>
                    <xdr:row>15</xdr:row>
                    <xdr:rowOff>133350</xdr:rowOff>
                  </from>
                  <to>
                    <xdr:col>17</xdr:col>
                    <xdr:colOff>95250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7" name="Check Box 200">
              <controlPr defaultSize="0" autoFill="0" autoLine="0" autoPict="0">
                <anchor moveWithCells="1">
                  <from>
                    <xdr:col>13</xdr:col>
                    <xdr:colOff>0</xdr:colOff>
                    <xdr:row>16</xdr:row>
                    <xdr:rowOff>133350</xdr:rowOff>
                  </from>
                  <to>
                    <xdr:col>17</xdr:col>
                    <xdr:colOff>254000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28" name="Check Box 201">
              <controlPr defaultSize="0" autoFill="0" autoLine="0" autoPict="0">
                <anchor moveWithCells="1">
                  <from>
                    <xdr:col>14</xdr:col>
                    <xdr:colOff>0</xdr:colOff>
                    <xdr:row>16</xdr:row>
                    <xdr:rowOff>133350</xdr:rowOff>
                  </from>
                  <to>
                    <xdr:col>17</xdr:col>
                    <xdr:colOff>88900</xdr:colOff>
                    <xdr:row>18</xdr:row>
                    <xdr:rowOff>31750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579F28E0-5380-4F00-B05E-9557D2FEC9AC}">
            <xm:f>'SE4X Production'!$E$31&gt;=2</xm:f>
            <x14:dxf>
              <fill>
                <patternFill>
                  <bgColor rgb="FF00B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10" id="{A7D163BC-0A8C-4795-853C-41F68FA25C00}">
            <xm:f>'SE4X Production'!$E$31&gt;=2</xm:f>
            <x14:dxf>
              <fill>
                <patternFill>
                  <bgColor rgb="FF00B050"/>
                </patternFill>
              </fill>
            </x14:dxf>
          </x14:cfRule>
          <xm:sqref>E11:E16</xm:sqref>
        </x14:conditionalFormatting>
        <x14:conditionalFormatting xmlns:xm="http://schemas.microsoft.com/office/excel/2006/main">
          <x14:cfRule type="expression" priority="8" id="{64C28321-DEC3-4324-9CC6-8A190FF25704}">
            <xm:f>'SE4X Production'!$E$31&gt;=3</xm:f>
            <x14:dxf>
              <fill>
                <patternFill>
                  <bgColor rgb="FF00B050"/>
                </patternFill>
              </fill>
            </x14:dxf>
          </x14:cfRule>
          <xm:sqref>E17:E22</xm:sqref>
        </x14:conditionalFormatting>
        <x14:conditionalFormatting xmlns:xm="http://schemas.microsoft.com/office/excel/2006/main">
          <x14:cfRule type="expression" priority="7" id="{E74F3F03-E0BE-4265-B902-1C11075C6FAA}">
            <xm:f>'SE4X Production'!$E$31&gt;=4</xm:f>
            <x14:dxf>
              <fill>
                <patternFill>
                  <bgColor rgb="FF00B050"/>
                </patternFill>
              </fill>
            </x14:dxf>
          </x14:cfRule>
          <xm:sqref>E23:E28</xm:sqref>
        </x14:conditionalFormatting>
        <x14:conditionalFormatting xmlns:xm="http://schemas.microsoft.com/office/excel/2006/main">
          <x14:cfRule type="expression" priority="6" id="{3EABCE87-2B19-434D-AB1A-7B1BA3BD663D}">
            <xm:f>'SE4X Production'!$E$31&gt;=5</xm:f>
            <x14:dxf>
              <fill>
                <patternFill>
                  <bgColor rgb="FF00B050"/>
                </patternFill>
              </fill>
            </x14:dxf>
          </x14:cfRule>
          <xm:sqref>E29:E34</xm:sqref>
        </x14:conditionalFormatting>
        <x14:conditionalFormatting xmlns:xm="http://schemas.microsoft.com/office/excel/2006/main">
          <x14:cfRule type="expression" priority="4" id="{6F88EB41-F3C3-43B0-BBF0-6A77DCFBED09}">
            <xm:f>'SE4X Production'!$E$31&gt;=6</xm:f>
            <x14:dxf>
              <fill>
                <patternFill>
                  <bgColor rgb="FF00B050"/>
                </patternFill>
              </fill>
            </x14:dxf>
          </x14:cfRule>
          <xm:sqref>E35:E39</xm:sqref>
        </x14:conditionalFormatting>
        <x14:conditionalFormatting xmlns:xm="http://schemas.microsoft.com/office/excel/2006/main">
          <x14:cfRule type="expression" priority="3" id="{FC23A26C-C130-44F2-BDE5-9F1F456016D2}">
            <xm:f>'SE4X Production'!$E$42&gt;=1</xm:f>
            <x14:dxf>
              <fill>
                <patternFill>
                  <bgColor rgb="FF00B050"/>
                </patternFill>
              </fill>
            </x14:dxf>
          </x14:cfRule>
          <xm:sqref>Q3:Q8</xm:sqref>
        </x14:conditionalFormatting>
        <x14:conditionalFormatting xmlns:xm="http://schemas.microsoft.com/office/excel/2006/main">
          <x14:cfRule type="expression" priority="2" id="{7E1D9FA1-1582-4BBA-BD6D-7784D5D75FF8}">
            <xm:f>'SE4X Production'!$E$40&gt;=1</xm:f>
            <x14:dxf>
              <fill>
                <patternFill>
                  <bgColor rgb="FF00B050"/>
                </patternFill>
              </fill>
            </x14:dxf>
          </x14:cfRule>
          <xm:sqref>Q9:Q24</xm:sqref>
        </x14:conditionalFormatting>
        <x14:conditionalFormatting xmlns:xm="http://schemas.microsoft.com/office/excel/2006/main">
          <x14:cfRule type="expression" priority="1" id="{F3FD7A6A-15D0-4D2A-99C8-AC1BC871B5C6}">
            <xm:f>'SE4X Production'!$E$45&gt;=1</xm:f>
            <x14:dxf>
              <fill>
                <patternFill>
                  <bgColor rgb="FF00B050"/>
                </patternFill>
              </fill>
            </x14:dxf>
          </x14:cfRule>
          <xm:sqref>Q25:Q30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SE4X Production</vt:lpstr>
      <vt:lpstr>Ship 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Schlette</dc:creator>
  <cp:lastModifiedBy>Christian Schlette</cp:lastModifiedBy>
  <dcterms:created xsi:type="dcterms:W3CDTF">2026-02-05T19:59:04Z</dcterms:created>
  <dcterms:modified xsi:type="dcterms:W3CDTF">2026-03-14T21:15:39Z</dcterms:modified>
</cp:coreProperties>
</file>